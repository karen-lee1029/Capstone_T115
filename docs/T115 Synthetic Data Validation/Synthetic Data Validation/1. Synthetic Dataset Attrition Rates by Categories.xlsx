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021c93edc36bfb/Documents/Uni stuff/IT Units/1. Capstone/Phase 1/Stat analysis/Beta distribution/Validation/T115 Synthetic Data Validation - Draft 1/"/>
    </mc:Choice>
  </mc:AlternateContent>
  <xr:revisionPtr revIDLastSave="1138" documentId="8_{922BE19D-63E5-4C55-8D4E-A587D86DC819}" xr6:coauthVersionLast="47" xr6:coauthVersionMax="47" xr10:uidLastSave="{0DB19A35-5F1F-4AAE-AE9C-75CA44059930}"/>
  <bookViews>
    <workbookView xWindow="-110" yWindow="-110" windowWidth="19420" windowHeight="12220" firstSheet="16" activeTab="11" xr2:uid="{E25C10E4-D524-432C-80C8-35A5E6CFF13D}"/>
  </bookViews>
  <sheets>
    <sheet name="Attendance Mode" sheetId="1" r:id="rId1"/>
    <sheet name="Att. Mode Per Year" sheetId="2" r:id="rId2"/>
    <sheet name="CALC" sheetId="11" r:id="rId3"/>
    <sheet name="CALC Per Year" sheetId="10" r:id="rId4"/>
    <sheet name="Course Level" sheetId="8" r:id="rId5"/>
    <sheet name="Course Level Per Year" sheetId="9" r:id="rId6"/>
    <sheet name="Broad FOE" sheetId="4" r:id="rId7"/>
    <sheet name="Broad FOE Per Year" sheetId="3" r:id="rId8"/>
    <sheet name="Age Band" sheetId="13" r:id="rId9"/>
    <sheet name="Age Band Per Year" sheetId="14" r:id="rId10"/>
    <sheet name="Gender" sheetId="24" r:id="rId11"/>
    <sheet name="Gender Per Year" sheetId="23" r:id="rId12"/>
    <sheet name="SES" sheetId="16" r:id="rId13"/>
    <sheet name="SES Per Year" sheetId="15" r:id="rId14"/>
    <sheet name="Regional-Remote" sheetId="17" r:id="rId15"/>
    <sheet name="Regional-Remote Per Year" sheetId="18" r:id="rId16"/>
    <sheet name="First Nations" sheetId="20" r:id="rId17"/>
    <sheet name="First Nations Per Year" sheetId="19" r:id="rId18"/>
    <sheet name="International" sheetId="21" r:id="rId19"/>
    <sheet name="International Per Year" sheetId="22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2" l="1"/>
</calcChain>
</file>

<file path=xl/sharedStrings.xml><?xml version="1.0" encoding="utf-8"?>
<sst xmlns="http://schemas.openxmlformats.org/spreadsheetml/2006/main" count="428" uniqueCount="59">
  <si>
    <t>Attendance Mode</t>
  </si>
  <si>
    <t>Attrition Rate</t>
  </si>
  <si>
    <t>Mixed / Other</t>
  </si>
  <si>
    <t>On-campus</t>
  </si>
  <si>
    <t>Online</t>
  </si>
  <si>
    <t>Enrolment Year</t>
  </si>
  <si>
    <t>ARCHITECTURE AND BUILDING</t>
  </si>
  <si>
    <t>CREATIVE ARTS</t>
  </si>
  <si>
    <t>EDUCATION</t>
  </si>
  <si>
    <t>ENGINEERING AND RELATED TECHNOLOGIES</t>
  </si>
  <si>
    <t>HEALTH</t>
  </si>
  <si>
    <t>INFORMATION TECHNOLOGY</t>
  </si>
  <si>
    <t>MANAGEMENT AND COMMERCE</t>
  </si>
  <si>
    <t>NATURAL AND PHYSICAL SCIENCES</t>
  </si>
  <si>
    <t>NONE</t>
  </si>
  <si>
    <t>SOCIETY AND CULTURE</t>
  </si>
  <si>
    <t>Broad FOE</t>
  </si>
  <si>
    <t>HDR</t>
  </si>
  <si>
    <t>Other</t>
  </si>
  <si>
    <t>Postgraduate (Coursework)</t>
  </si>
  <si>
    <t>Undergraduate</t>
  </si>
  <si>
    <t>Course Level</t>
  </si>
  <si>
    <t>Full-time</t>
  </si>
  <si>
    <t>Part-time</t>
  </si>
  <si>
    <t>Course Admission Load Category</t>
  </si>
  <si>
    <t>14 or less</t>
  </si>
  <si>
    <t>15 to 19</t>
  </si>
  <si>
    <t>20 to 24</t>
  </si>
  <si>
    <t>25 to 29</t>
  </si>
  <si>
    <t>30 to 34</t>
  </si>
  <si>
    <t>35 to 39</t>
  </si>
  <si>
    <t>40 to 44</t>
  </si>
  <si>
    <t>45 to 49</t>
  </si>
  <si>
    <t>50 to 54</t>
  </si>
  <si>
    <t>55 to 59</t>
  </si>
  <si>
    <t>60 or more</t>
  </si>
  <si>
    <t>Age Band</t>
  </si>
  <si>
    <t>High SES</t>
  </si>
  <si>
    <t>Low SES</t>
  </si>
  <si>
    <t>Medium SES</t>
  </si>
  <si>
    <t>Unknown / Not stated</t>
  </si>
  <si>
    <t>Socioeconomic Status</t>
  </si>
  <si>
    <t>Inner Regional</t>
  </si>
  <si>
    <t>Major Cities</t>
  </si>
  <si>
    <t>Outer Regional</t>
  </si>
  <si>
    <t>Remote</t>
  </si>
  <si>
    <t>Very Remote</t>
  </si>
  <si>
    <t>Regional/Remote</t>
  </si>
  <si>
    <t>Student is First Nations</t>
  </si>
  <si>
    <t>FALSE</t>
  </si>
  <si>
    <t>TRUE</t>
  </si>
  <si>
    <t>Domestic</t>
  </si>
  <si>
    <t>International</t>
  </si>
  <si>
    <t>Domestic vs International</t>
  </si>
  <si>
    <t>Female</t>
  </si>
  <si>
    <t>Male</t>
  </si>
  <si>
    <t>Non-Binary</t>
  </si>
  <si>
    <t>Prefer not to answer</t>
  </si>
  <si>
    <t>Student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</si>
</sst>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Attrition</a:t>
            </a:r>
            <a:r>
              <a:rPr lang="en-AU" baseline="0"/>
              <a:t> Rate by Attendance Mode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'Attendance Mode'!$A$2:$A$4</c:f>
              <c:strCache>
                <c:ptCount val="3"/>
                <c:pt idx="0">
                  <c:v>Mixed / Other</c:v>
                </c:pt>
                <c:pt idx="1">
                  <c:v>On-campus</c:v>
                </c:pt>
                <c:pt idx="2">
                  <c:v>Online</c:v>
                </c:pt>
              </c:strCache>
            </c:strRef>
          </c:cat>
          <c:val>
            <c:numRef>
              <c:f>'Attendance Mode'!$B$2:$B$4</c:f>
              <c:numCache>
                <c:formatCode>General</c:formatCode>
                <c:ptCount val="3"/>
                <c:pt idx="0">
                  <c:v>0.22752572103221455</c:v>
                </c:pt>
                <c:pt idx="1">
                  <c:v>0.23220283852323564</c:v>
                </c:pt>
                <c:pt idx="2">
                  <c:v>0.23203873678534115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97-4535-9300-6830D60AA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4432719"/>
        <c:axId val="2108093167"/>
      </c:barChart>
      <c:catAx>
        <c:axId val="2104432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Attendance Mode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093167"/>
        <c:crosses val="autoZero"/>
        <c:auto val="1"/>
        <c:lblAlgn val="ctr"/>
        <c:lblOffset val="100"/>
        <c:noMultiLvlLbl val="0"/>
      </c:catAx>
      <c:valAx>
        <c:axId val="210809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ATtrition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4432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Attrition Rate Per Year by Attendance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'Att. Mode Per Year'!$G$22</c:f>
              <c:strCache>
                <c:ptCount val="1"/>
                <c:pt idx="0">
                  <c:v>Mixed / Other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'Att. Mode Per Year'!$F$23:$F$28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'Att. Mode Per Year'!$G$23:$G$28</c:f>
              <c:numCache>
                <c:formatCode>General</c:formatCode>
                <c:ptCount val="6"/>
                <c:pt idx="0">
                  <c:v>0.21945701357466063</c:v>
                </c:pt>
                <c:pt idx="1">
                  <c:v>0.23235613463626492</c:v>
                </c:pt>
                <c:pt idx="2">
                  <c:v>0.23076923076923078</c:v>
                </c:pt>
                <c:pt idx="3">
                  <c:v>0.22615219721329047</c:v>
                </c:pt>
                <c:pt idx="4">
                  <c:v>0.20981387478849409</c:v>
                </c:pt>
                <c:pt idx="5">
                  <c:v>0.2463891248937978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30-4854-84C2-5E763DBCFBDE}"/>
            </c:ext>
          </c:extLst>
        </c:ser>
        <c:ser>
          <c:idx val="1"/>
          <c:order val="1"/>
          <c:tx>
            <c:strRef>
              <c:f>'Att. Mode Per Year'!$H$22</c:f>
              <c:strCache>
                <c:ptCount val="1"/>
                <c:pt idx="0">
                  <c:v>On-campus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'Att. Mode Per Year'!$F$23:$F$28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'Att. Mode Per Year'!$H$23:$H$28</c:f>
              <c:numCache>
                <c:formatCode>General</c:formatCode>
                <c:ptCount val="6"/>
                <c:pt idx="0">
                  <c:v>0.22932448787484871</c:v>
                </c:pt>
                <c:pt idx="1">
                  <c:v>0.23298123269408266</c:v>
                </c:pt>
                <c:pt idx="2">
                  <c:v>0.2316967383761277</c:v>
                </c:pt>
                <c:pt idx="3">
                  <c:v>0.23176247446746426</c:v>
                </c:pt>
                <c:pt idx="4">
                  <c:v>0.23378653302237881</c:v>
                </c:pt>
                <c:pt idx="5">
                  <c:v>0.23287883883987479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30-4854-84C2-5E763DBCFBDE}"/>
            </c:ext>
          </c:extLst>
        </c:ser>
        <c:ser>
          <c:idx val="2"/>
          <c:order val="2"/>
          <c:tx>
            <c:strRef>
              <c:f>'Att. Mode Per Year'!$I$22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'Att. Mode Per Year'!$F$23:$F$28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'Att. Mode Per Year'!$I$23:$I$28</c:f>
              <c:numCache>
                <c:formatCode>General</c:formatCode>
                <c:ptCount val="6"/>
                <c:pt idx="0">
                  <c:v>0.22974854932301741</c:v>
                </c:pt>
                <c:pt idx="1">
                  <c:v>0.23077868276927399</c:v>
                </c:pt>
                <c:pt idx="2">
                  <c:v>0.23355576739752146</c:v>
                </c:pt>
                <c:pt idx="3">
                  <c:v>0.23317913086966618</c:v>
                </c:pt>
                <c:pt idx="4">
                  <c:v>0.23080864874097903</c:v>
                </c:pt>
                <c:pt idx="5">
                  <c:v>0.23398435767405415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30-4854-84C2-5E763DBCF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6514607"/>
        <c:axId val="518889583"/>
      </c:barChart>
      <c:catAx>
        <c:axId val="536514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Enrolment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889583"/>
        <c:crosses val="autoZero"/>
        <c:auto val="1"/>
        <c:lblAlgn val="ctr"/>
        <c:lblOffset val="100"/>
        <c:noMultiLvlLbl val="0"/>
      </c:catAx>
      <c:valAx>
        <c:axId val="51888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Attrition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514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Attrition Rate by Course Admission Load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CALC!$A$2:$A$3</c:f>
              <c:strCache>
                <c:ptCount val="2"/>
                <c:pt idx="0">
                  <c:v>Full-time</c:v>
                </c:pt>
                <c:pt idx="1">
                  <c:v>Part-time</c:v>
                </c:pt>
              </c:strCache>
            </c:strRef>
          </c:cat>
          <c:val>
            <c:numRef>
              <c:f>CALC!$B$2:$B$3</c:f>
              <c:numCache>
                <c:formatCode>General</c:formatCode>
                <c:ptCount val="2"/>
                <c:pt idx="0">
                  <c:v>0.23216011068401884</c:v>
                </c:pt>
                <c:pt idx="1">
                  <c:v>0.23206089530168161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A3-474F-B21A-E628374F8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8264191"/>
        <c:axId val="518830543"/>
      </c:barChart>
      <c:catAx>
        <c:axId val="538264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Course</a:t>
                </a:r>
                <a:r>
                  <a:rPr lang="en-AU" baseline="0"/>
                  <a:t> Admission Load Category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830543"/>
        <c:crosses val="autoZero"/>
        <c:auto val="1"/>
        <c:lblAlgn val="ctr"/>
        <c:lblOffset val="100"/>
        <c:noMultiLvlLbl val="0"/>
      </c:catAx>
      <c:valAx>
        <c:axId val="51883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Attrition</a:t>
                </a:r>
                <a:r>
                  <a:rPr lang="en-AU" baseline="0"/>
                  <a:t> Rate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264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Attrition Rate Per Year by CALC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'CALC Per Year'!$G$23</c:f>
              <c:strCache>
                <c:ptCount val="1"/>
                <c:pt idx="0">
                  <c:v>Full-time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'CALC Per Year'!$F$24:$F$29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'CALC Per Year'!$G$24:$G$29</c:f>
              <c:numCache>
                <c:formatCode>General</c:formatCode>
                <c:ptCount val="6"/>
                <c:pt idx="0">
                  <c:v>0.22957477929269185</c:v>
                </c:pt>
                <c:pt idx="1">
                  <c:v>0.23224040449921707</c:v>
                </c:pt>
                <c:pt idx="2">
                  <c:v>0.23114876777311297</c:v>
                </c:pt>
                <c:pt idx="3">
                  <c:v>0.23305989709736918</c:v>
                </c:pt>
                <c:pt idx="4">
                  <c:v>0.23250536114396714</c:v>
                </c:pt>
                <c:pt idx="5">
                  <c:v>0.23378127896200185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D0-4755-9A3F-180CE02E15BD}"/>
            </c:ext>
          </c:extLst>
        </c:ser>
        <c:ser>
          <c:idx val="1"/>
          <c:order val="1"/>
          <c:tx>
            <c:strRef>
              <c:f>'CALC Per Year'!$H$23</c:f>
              <c:strCache>
                <c:ptCount val="1"/>
                <c:pt idx="0">
                  <c:v>Part-time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'CALC Per Year'!$F$24:$F$29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'CALC Per Year'!$H$24:$H$29</c:f>
              <c:numCache>
                <c:formatCode>General</c:formatCode>
                <c:ptCount val="6"/>
                <c:pt idx="0">
                  <c:v>0.22923307994114761</c:v>
                </c:pt>
                <c:pt idx="1">
                  <c:v>0.23208809590186785</c:v>
                </c:pt>
                <c:pt idx="2">
                  <c:v>0.23379212570517174</c:v>
                </c:pt>
                <c:pt idx="3">
                  <c:v>0.23129647499574274</c:v>
                </c:pt>
                <c:pt idx="4">
                  <c:v>0.23260603865827711</c:v>
                </c:pt>
                <c:pt idx="5">
                  <c:v>0.23289161276740078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D0-4755-9A3F-180CE02E1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1881135"/>
        <c:axId val="2108138767"/>
      </c:barChart>
      <c:catAx>
        <c:axId val="511881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Enrolment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138767"/>
        <c:crosses val="autoZero"/>
        <c:auto val="1"/>
        <c:lblAlgn val="ctr"/>
        <c:lblOffset val="100"/>
        <c:noMultiLvlLbl val="0"/>
      </c:catAx>
      <c:valAx>
        <c:axId val="210813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Attrition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88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Attrition Rate by Course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'Course Level'!$A$2:$A$5</c:f>
              <c:strCache>
                <c:ptCount val="4"/>
                <c:pt idx="0">
                  <c:v>HDR</c:v>
                </c:pt>
                <c:pt idx="1">
                  <c:v>Other</c:v>
                </c:pt>
                <c:pt idx="2">
                  <c:v>Postgraduate (Coursework)</c:v>
                </c:pt>
                <c:pt idx="3">
                  <c:v>Undergraduate</c:v>
                </c:pt>
              </c:strCache>
            </c:strRef>
          </c:cat>
          <c:val>
            <c:numRef>
              <c:f>'Course Level'!$B$2:$B$5</c:f>
              <c:numCache>
                <c:formatCode>General</c:formatCode>
                <c:ptCount val="4"/>
                <c:pt idx="0">
                  <c:v>0.22735200845665962</c:v>
                </c:pt>
                <c:pt idx="1">
                  <c:v>0.23249585961450367</c:v>
                </c:pt>
                <c:pt idx="2">
                  <c:v>0.23234779465525315</c:v>
                </c:pt>
                <c:pt idx="3">
                  <c:v>0.23226402388122613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27-44D2-B0C6-1E7E822C1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6455215"/>
        <c:axId val="2108069647"/>
      </c:barChart>
      <c:catAx>
        <c:axId val="536455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Course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069647"/>
        <c:crosses val="autoZero"/>
        <c:auto val="1"/>
        <c:lblAlgn val="ctr"/>
        <c:lblOffset val="100"/>
        <c:noMultiLvlLbl val="0"/>
      </c:catAx>
      <c:valAx>
        <c:axId val="210806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Attrition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45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Attrition Rate Per Year by Course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'Course Level Per Year'!$G$23</c:f>
              <c:strCache>
                <c:ptCount val="1"/>
                <c:pt idx="0">
                  <c:v>HDR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'Course Level Per Year'!$F$24:$F$29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'Course Level Per Year'!$G$24:$G$29</c:f>
              <c:numCache>
                <c:formatCode>General</c:formatCode>
                <c:ptCount val="6"/>
                <c:pt idx="0">
                  <c:v>0.21820835613939063</c:v>
                </c:pt>
                <c:pt idx="1">
                  <c:v>0.23148777173913043</c:v>
                </c:pt>
                <c:pt idx="2">
                  <c:v>0.22967764540995095</c:v>
                </c:pt>
                <c:pt idx="3">
                  <c:v>0.23466057441253263</c:v>
                </c:pt>
                <c:pt idx="4">
                  <c:v>0.23089475115583355</c:v>
                </c:pt>
                <c:pt idx="5">
                  <c:v>0.21933800302156298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13-44E9-A30B-31F42284D82C}"/>
            </c:ext>
          </c:extLst>
        </c:ser>
        <c:ser>
          <c:idx val="1"/>
          <c:order val="1"/>
          <c:tx>
            <c:strRef>
              <c:f>'Course Level Per Year'!$H$23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'Course Level Per Year'!$F$24:$F$29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'Course Level Per Year'!$H$24:$H$29</c:f>
              <c:numCache>
                <c:formatCode>General</c:formatCode>
                <c:ptCount val="6"/>
                <c:pt idx="0">
                  <c:v>0.22877187323602935</c:v>
                </c:pt>
                <c:pt idx="1">
                  <c:v>0.2303499079189687</c:v>
                </c:pt>
                <c:pt idx="2">
                  <c:v>0.23432472730126344</c:v>
                </c:pt>
                <c:pt idx="3">
                  <c:v>0.23531590252573883</c:v>
                </c:pt>
                <c:pt idx="4">
                  <c:v>0.23409241122393798</c:v>
                </c:pt>
                <c:pt idx="5">
                  <c:v>0.23171930686985376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13-44E9-A30B-31F42284D82C}"/>
            </c:ext>
          </c:extLst>
        </c:ser>
        <c:ser>
          <c:idx val="2"/>
          <c:order val="2"/>
          <c:tx>
            <c:strRef>
              <c:f>'Course Level Per Year'!$I$23</c:f>
              <c:strCache>
                <c:ptCount val="1"/>
                <c:pt idx="0">
                  <c:v>Postgraduate (Coursework)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'Course Level Per Year'!$F$24:$F$29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'Course Level Per Year'!$I$24:$I$29</c:f>
              <c:numCache>
                <c:formatCode>General</c:formatCode>
                <c:ptCount val="6"/>
                <c:pt idx="0">
                  <c:v>0.23351742199954453</c:v>
                </c:pt>
                <c:pt idx="1">
                  <c:v>0.23401465483995373</c:v>
                </c:pt>
                <c:pt idx="2">
                  <c:v>0.23153204553481674</c:v>
                </c:pt>
                <c:pt idx="3">
                  <c:v>0.23128754243927918</c:v>
                </c:pt>
                <c:pt idx="4">
                  <c:v>0.23136545934376493</c:v>
                </c:pt>
                <c:pt idx="5">
                  <c:v>0.23260695505399148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13-44E9-A30B-31F42284D82C}"/>
            </c:ext>
          </c:extLst>
        </c:ser>
        <c:ser>
          <c:idx val="3"/>
          <c:order val="3"/>
          <c:tx>
            <c:strRef>
              <c:f>'Course Level Per Year'!$J$23</c:f>
              <c:strCache>
                <c:ptCount val="1"/>
                <c:pt idx="0">
                  <c:v>Undergraduate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'Course Level Per Year'!$F$24:$F$29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'Course Level Per Year'!$J$24:$J$29</c:f>
              <c:numCache>
                <c:formatCode>General</c:formatCode>
                <c:ptCount val="6"/>
                <c:pt idx="0">
                  <c:v>0.2285778628532823</c:v>
                </c:pt>
                <c:pt idx="1">
                  <c:v>0.23172679589039685</c:v>
                </c:pt>
                <c:pt idx="2">
                  <c:v>0.2326034809468</c:v>
                </c:pt>
                <c:pt idx="3">
                  <c:v>0.23204187158398012</c:v>
                </c:pt>
                <c:pt idx="4">
                  <c:v>0.23291442449244384</c:v>
                </c:pt>
                <c:pt idx="5">
                  <c:v>0.23479795827862365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13-44E9-A30B-31F42284D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8292495"/>
        <c:axId val="518804623"/>
      </c:barChart>
      <c:catAx>
        <c:axId val="538292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Enrolment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804623"/>
        <c:crosses val="autoZero"/>
        <c:auto val="1"/>
        <c:lblAlgn val="ctr"/>
        <c:lblOffset val="100"/>
        <c:noMultiLvlLbl val="0"/>
      </c:catAx>
      <c:valAx>
        <c:axId val="518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Attrition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29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by Broad Field of</a:t>
            </a:r>
            <a:r>
              <a:rPr lang="en-US" baseline="0"/>
              <a:t> Education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'Broad FOE'!$B$1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'Broad FOE'!$A$2:$A$11</c:f>
              <c:strCache>
                <c:ptCount val="10"/>
                <c:pt idx="0">
                  <c:v>ARCHITECTURE AND BUILDING</c:v>
                </c:pt>
                <c:pt idx="1">
                  <c:v>CREATIVE ARTS</c:v>
                </c:pt>
                <c:pt idx="2">
                  <c:v>EDUCATION</c:v>
                </c:pt>
                <c:pt idx="3">
                  <c:v>ENGINEERING AND RELATED TECHNOLOGIES</c:v>
                </c:pt>
                <c:pt idx="4">
                  <c:v>HEALTH</c:v>
                </c:pt>
                <c:pt idx="5">
                  <c:v>INFORMATION TECHNOLOGY</c:v>
                </c:pt>
                <c:pt idx="6">
                  <c:v>MANAGEMENT AND COMMERCE</c:v>
                </c:pt>
                <c:pt idx="7">
                  <c:v>NATURAL AND PHYSICAL SCIENCES</c:v>
                </c:pt>
                <c:pt idx="8">
                  <c:v>NONE</c:v>
                </c:pt>
                <c:pt idx="9">
                  <c:v>SOCIETY AND CULTURE</c:v>
                </c:pt>
              </c:strCache>
            </c:strRef>
          </c:cat>
          <c:val>
            <c:numRef>
              <c:f>'Broad FOE'!$B$2:$B$11</c:f>
              <c:numCache>
                <c:formatCode>General</c:formatCode>
                <c:ptCount val="10"/>
                <c:pt idx="0">
                  <c:v>0.23062472520884128</c:v>
                </c:pt>
                <c:pt idx="1">
                  <c:v>0.23355693004617126</c:v>
                </c:pt>
                <c:pt idx="2">
                  <c:v>0.23322603719599427</c:v>
                </c:pt>
                <c:pt idx="3">
                  <c:v>0.23165676914159475</c:v>
                </c:pt>
                <c:pt idx="4">
                  <c:v>0.23268483659836034</c:v>
                </c:pt>
                <c:pt idx="5">
                  <c:v>0.23173096087988548</c:v>
                </c:pt>
                <c:pt idx="6">
                  <c:v>0.23126565636825555</c:v>
                </c:pt>
                <c:pt idx="7">
                  <c:v>0.23505065978661077</c:v>
                </c:pt>
                <c:pt idx="8">
                  <c:v>0.22710799025992412</c:v>
                </c:pt>
                <c:pt idx="9">
                  <c:v>0.23373721680774559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BD-4E7D-B809-C7DEEC003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3211279"/>
        <c:axId val="518815663"/>
      </c:barChart>
      <c:catAx>
        <c:axId val="2113211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Broad Field of Education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815663"/>
        <c:crosses val="autoZero"/>
        <c:auto val="1"/>
        <c:lblAlgn val="ctr"/>
        <c:lblOffset val="100"/>
        <c:noMultiLvlLbl val="0"/>
      </c:catAx>
      <c:valAx>
        <c:axId val="51881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Attrition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211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Attrition Rate</a:t>
            </a:r>
            <a:r>
              <a:rPr lang="en-AU" baseline="0"/>
              <a:t> Per Year by Broad Field of Education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'Broad FOE Per Year'!$G$29</c:f>
              <c:strCache>
                <c:ptCount val="1"/>
                <c:pt idx="0">
                  <c:v>ARCHITECTURE AND BUILDING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'Broad FOE Per Year'!$F$30:$F$35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'Broad FOE Per Year'!$G$30:$G$35</c:f>
              <c:numCache>
                <c:formatCode>General</c:formatCode>
                <c:ptCount val="6"/>
                <c:pt idx="0">
                  <c:v>0.22518050541516246</c:v>
                </c:pt>
                <c:pt idx="1">
                  <c:v>0.23525012464683398</c:v>
                </c:pt>
                <c:pt idx="2">
                  <c:v>0.2239657631954351</c:v>
                </c:pt>
                <c:pt idx="3">
                  <c:v>0.22885699641209636</c:v>
                </c:pt>
                <c:pt idx="4">
                  <c:v>0.23398534650803254</c:v>
                </c:pt>
                <c:pt idx="5">
                  <c:v>0.23416289592760181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44-4C00-9111-CC3318CBAA08}"/>
            </c:ext>
          </c:extLst>
        </c:ser>
        <c:ser>
          <c:idx val="1"/>
          <c:order val="1"/>
          <c:tx>
            <c:strRef>
              <c:f>'Broad FOE Per Year'!$H$29</c:f>
              <c:strCache>
                <c:ptCount val="1"/>
                <c:pt idx="0">
                  <c:v>CREATIVE ARTS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'Broad FOE Per Year'!$F$30:$F$35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'Broad FOE Per Year'!$H$30:$H$35</c:f>
              <c:numCache>
                <c:formatCode>General</c:formatCode>
                <c:ptCount val="6"/>
                <c:pt idx="0">
                  <c:v>0.23454106280193238</c:v>
                </c:pt>
                <c:pt idx="1">
                  <c:v>0.23183504254854898</c:v>
                </c:pt>
                <c:pt idx="2">
                  <c:v>0.23280240073868882</c:v>
                </c:pt>
                <c:pt idx="3">
                  <c:v>0.23361196656401231</c:v>
                </c:pt>
                <c:pt idx="4">
                  <c:v>0.23509021420318194</c:v>
                </c:pt>
                <c:pt idx="5">
                  <c:v>0.23322975690001826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44-4C00-9111-CC3318CBAA08}"/>
            </c:ext>
          </c:extLst>
        </c:ser>
        <c:ser>
          <c:idx val="2"/>
          <c:order val="2"/>
          <c:tx>
            <c:strRef>
              <c:f>'Broad FOE Per Year'!$I$29</c:f>
              <c:strCache>
                <c:ptCount val="1"/>
                <c:pt idx="0">
                  <c:v>EDUCATION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'Broad FOE Per Year'!$F$30:$F$35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'Broad FOE Per Year'!$I$30:$I$35</c:f>
              <c:numCache>
                <c:formatCode>General</c:formatCode>
                <c:ptCount val="6"/>
                <c:pt idx="0">
                  <c:v>0.23285619174434088</c:v>
                </c:pt>
                <c:pt idx="1">
                  <c:v>0.2302270366523223</c:v>
                </c:pt>
                <c:pt idx="2">
                  <c:v>0.23109111005842412</c:v>
                </c:pt>
                <c:pt idx="3">
                  <c:v>0.23313949097500189</c:v>
                </c:pt>
                <c:pt idx="4">
                  <c:v>0.23075526506899055</c:v>
                </c:pt>
                <c:pt idx="5">
                  <c:v>0.24036352240676903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44-4C00-9111-CC3318CBAA08}"/>
            </c:ext>
          </c:extLst>
        </c:ser>
        <c:ser>
          <c:idx val="3"/>
          <c:order val="3"/>
          <c:tx>
            <c:strRef>
              <c:f>'Broad FOE Per Year'!$J$29</c:f>
              <c:strCache>
                <c:ptCount val="1"/>
                <c:pt idx="0">
                  <c:v>ENGINEERING AND RELATED TECHNOLOGIES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'Broad FOE Per Year'!$F$30:$F$35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'Broad FOE Per Year'!$J$30:$J$35</c:f>
              <c:numCache>
                <c:formatCode>General</c:formatCode>
                <c:ptCount val="6"/>
                <c:pt idx="0">
                  <c:v>0.23270582898616465</c:v>
                </c:pt>
                <c:pt idx="1">
                  <c:v>0.2314112291350531</c:v>
                </c:pt>
                <c:pt idx="2">
                  <c:v>0.23394892511903045</c:v>
                </c:pt>
                <c:pt idx="3">
                  <c:v>0.22816706938211945</c:v>
                </c:pt>
                <c:pt idx="4">
                  <c:v>0.22928300201027474</c:v>
                </c:pt>
                <c:pt idx="5">
                  <c:v>0.23457638769548031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44-4C00-9111-CC3318CBAA08}"/>
            </c:ext>
          </c:extLst>
        </c:ser>
        <c:ser>
          <c:idx val="4"/>
          <c:order val="4"/>
          <c:tx>
            <c:strRef>
              <c:f>'Broad FOE Per Year'!$K$29</c:f>
              <c:strCache>
                <c:ptCount val="1"/>
                <c:pt idx="0">
                  <c:v>HEALTH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'Broad FOE Per Year'!$F$30:$F$35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'Broad FOE Per Year'!$K$30:$K$35</c:f>
              <c:numCache>
                <c:formatCode>General</c:formatCode>
                <c:ptCount val="6"/>
                <c:pt idx="0">
                  <c:v>0.23207053878095044</c:v>
                </c:pt>
                <c:pt idx="1">
                  <c:v>0.23525254428948361</c:v>
                </c:pt>
                <c:pt idx="2">
                  <c:v>0.23482651734826518</c:v>
                </c:pt>
                <c:pt idx="3">
                  <c:v>0.2326835138387485</c:v>
                </c:pt>
                <c:pt idx="4">
                  <c:v>0.23219556497388935</c:v>
                </c:pt>
                <c:pt idx="5">
                  <c:v>0.22980551246867917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44-4C00-9111-CC3318CBAA08}"/>
            </c:ext>
          </c:extLst>
        </c:ser>
        <c:ser>
          <c:idx val="5"/>
          <c:order val="5"/>
          <c:tx>
            <c:strRef>
              <c:f>'Broad FOE Per Year'!$L$29</c:f>
              <c:strCache>
                <c:ptCount val="1"/>
                <c:pt idx="0">
                  <c:v>INFORMATION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'Broad FOE Per Year'!$F$30:$F$35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'Broad FOE Per Year'!$L$30:$L$35</c:f>
              <c:numCache>
                <c:formatCode>General</c:formatCode>
                <c:ptCount val="6"/>
                <c:pt idx="0">
                  <c:v>0.22962133930236897</c:v>
                </c:pt>
                <c:pt idx="1">
                  <c:v>0.22894390759906227</c:v>
                </c:pt>
                <c:pt idx="2">
                  <c:v>0.22941459310013224</c:v>
                </c:pt>
                <c:pt idx="3">
                  <c:v>0.23814438901313148</c:v>
                </c:pt>
                <c:pt idx="4">
                  <c:v>0.23258489003404803</c:v>
                </c:pt>
                <c:pt idx="5">
                  <c:v>0.23129316503929506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344-4C00-9111-CC3318CBAA08}"/>
            </c:ext>
          </c:extLst>
        </c:ser>
        <c:ser>
          <c:idx val="6"/>
          <c:order val="6"/>
          <c:tx>
            <c:strRef>
              <c:f>'Broad FOE Per Year'!$M$29</c:f>
              <c:strCache>
                <c:ptCount val="1"/>
                <c:pt idx="0">
                  <c:v>MANAGEMENT AND COMMERCE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'Broad FOE Per Year'!$F$30:$F$35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'Broad FOE Per Year'!$M$30:$M$35</c:f>
              <c:numCache>
                <c:formatCode>General</c:formatCode>
                <c:ptCount val="6"/>
                <c:pt idx="0">
                  <c:v>0.22641737762449327</c:v>
                </c:pt>
                <c:pt idx="1">
                  <c:v>0.23225194566096682</c:v>
                </c:pt>
                <c:pt idx="2">
                  <c:v>0.23153463451970915</c:v>
                </c:pt>
                <c:pt idx="3">
                  <c:v>0.233126926230667</c:v>
                </c:pt>
                <c:pt idx="4">
                  <c:v>0.23059391641844931</c:v>
                </c:pt>
                <c:pt idx="5">
                  <c:v>0.23313690042964808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44-4C00-9111-CC3318CBAA08}"/>
            </c:ext>
          </c:extLst>
        </c:ser>
        <c:ser>
          <c:idx val="7"/>
          <c:order val="7"/>
          <c:tx>
            <c:strRef>
              <c:f>'Broad FOE Per Year'!$N$29</c:f>
              <c:strCache>
                <c:ptCount val="1"/>
                <c:pt idx="0">
                  <c:v>NATURAL AND PHYSICAL SCIENCES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'Broad FOE Per Year'!$F$30:$F$35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'Broad FOE Per Year'!$N$30:$N$35</c:f>
              <c:numCache>
                <c:formatCode>General</c:formatCode>
                <c:ptCount val="6"/>
                <c:pt idx="0">
                  <c:v>0.2375549048316252</c:v>
                </c:pt>
                <c:pt idx="1">
                  <c:v>0.23634840871021776</c:v>
                </c:pt>
                <c:pt idx="2">
                  <c:v>0.23836363636363636</c:v>
                </c:pt>
                <c:pt idx="3">
                  <c:v>0.22514265951928064</c:v>
                </c:pt>
                <c:pt idx="4">
                  <c:v>0.23856696973809199</c:v>
                </c:pt>
                <c:pt idx="5">
                  <c:v>0.23389021479713604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344-4C00-9111-CC3318CBAA08}"/>
            </c:ext>
          </c:extLst>
        </c:ser>
        <c:ser>
          <c:idx val="8"/>
          <c:order val="8"/>
          <c:tx>
            <c:strRef>
              <c:f>'Broad FOE Per Year'!$O$29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'Broad FOE Per Year'!$F$30:$F$35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'Broad FOE Per Year'!$O$30:$O$35</c:f>
              <c:numCache>
                <c:formatCode>General</c:formatCode>
                <c:ptCount val="6"/>
                <c:pt idx="0">
                  <c:v>0.22243902439024391</c:v>
                </c:pt>
                <c:pt idx="1">
                  <c:v>0.22403114493010087</c:v>
                </c:pt>
                <c:pt idx="2">
                  <c:v>0.2331712789827973</c:v>
                </c:pt>
                <c:pt idx="3">
                  <c:v>0.22797456857402362</c:v>
                </c:pt>
                <c:pt idx="4">
                  <c:v>0.23063707945597708</c:v>
                </c:pt>
                <c:pt idx="5">
                  <c:v>0.22404534606205251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344-4C00-9111-CC3318CBAA08}"/>
            </c:ext>
          </c:extLst>
        </c:ser>
        <c:ser>
          <c:idx val="9"/>
          <c:order val="9"/>
          <c:tx>
            <c:strRef>
              <c:f>'Broad FOE Per Year'!$P$29</c:f>
              <c:strCache>
                <c:ptCount val="1"/>
                <c:pt idx="0">
                  <c:v>SOCIETY AND CULTURE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'Broad FOE Per Year'!$F$30:$F$35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'Broad FOE Per Year'!$P$30:$P$35</c:f>
              <c:numCache>
                <c:formatCode>General</c:formatCode>
                <c:ptCount val="6"/>
                <c:pt idx="0">
                  <c:v>0.22692393238434164</c:v>
                </c:pt>
                <c:pt idx="1">
                  <c:v>0.23278443113772454</c:v>
                </c:pt>
                <c:pt idx="2">
                  <c:v>0.2364365971107544</c:v>
                </c:pt>
                <c:pt idx="3">
                  <c:v>0.2320484524970487</c:v>
                </c:pt>
                <c:pt idx="4">
                  <c:v>0.2366702720025638</c:v>
                </c:pt>
                <c:pt idx="5">
                  <c:v>0.23588208004723546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344-4C00-9111-CC3318CBA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6460783"/>
        <c:axId val="518858383"/>
      </c:barChart>
      <c:catAx>
        <c:axId val="536460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Enrolment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858383"/>
        <c:crosses val="autoZero"/>
        <c:auto val="1"/>
        <c:lblAlgn val="ctr"/>
        <c:lblOffset val="100"/>
        <c:noMultiLvlLbl val="0"/>
      </c:catAx>
      <c:valAx>
        <c:axId val="51885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Attrition</a:t>
                </a:r>
                <a:r>
                  <a:rPr lang="en-AU" baseline="0"/>
                  <a:t> Rate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460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Attrition Rate by Age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'Age Band'!$A$2:$A$12</c:f>
              <c:strCache>
                <c:ptCount val="11"/>
                <c:pt idx="0">
                  <c:v>14 or less</c:v>
                </c:pt>
                <c:pt idx="1">
                  <c:v>15 to 19</c:v>
                </c:pt>
                <c:pt idx="2">
                  <c:v>20 to 24</c:v>
                </c:pt>
                <c:pt idx="3">
                  <c:v>25 to 29</c:v>
                </c:pt>
                <c:pt idx="4">
                  <c:v>30 to 34</c:v>
                </c:pt>
                <c:pt idx="5">
                  <c:v>35 to 39</c:v>
                </c:pt>
                <c:pt idx="6">
                  <c:v>40 to 44</c:v>
                </c:pt>
                <c:pt idx="7">
                  <c:v>45 to 49</c:v>
                </c:pt>
                <c:pt idx="8">
                  <c:v>50 to 54</c:v>
                </c:pt>
                <c:pt idx="9">
                  <c:v>55 to 59</c:v>
                </c:pt>
                <c:pt idx="10">
                  <c:v>60 or more</c:v>
                </c:pt>
              </c:strCache>
            </c:strRef>
          </c:cat>
          <c:val>
            <c:numRef>
              <c:f>'Age Band'!$B$2:$B$12</c:f>
              <c:numCache>
                <c:formatCode>General</c:formatCode>
                <c:ptCount val="11"/>
                <c:pt idx="0">
                  <c:v>0.21428571428571427</c:v>
                </c:pt>
                <c:pt idx="1">
                  <c:v>0.23206489304896818</c:v>
                </c:pt>
                <c:pt idx="2">
                  <c:v>0.23234228538298279</c:v>
                </c:pt>
                <c:pt idx="3">
                  <c:v>0.23048537354551057</c:v>
                </c:pt>
                <c:pt idx="4">
                  <c:v>0.23086554560675548</c:v>
                </c:pt>
                <c:pt idx="5">
                  <c:v>0.23417721518987342</c:v>
                </c:pt>
                <c:pt idx="6">
                  <c:v>0.23257824143070044</c:v>
                </c:pt>
                <c:pt idx="7">
                  <c:v>0.23485614858576459</c:v>
                </c:pt>
                <c:pt idx="8">
                  <c:v>0.23367217280813216</c:v>
                </c:pt>
                <c:pt idx="9">
                  <c:v>0.23696618617809512</c:v>
                </c:pt>
                <c:pt idx="10">
                  <c:v>0.2314947127750786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6-49E0-B666-13BD4C458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1843343"/>
        <c:axId val="1400088847"/>
      </c:barChart>
      <c:catAx>
        <c:axId val="1051843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Age Band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088847"/>
        <c:crosses val="autoZero"/>
        <c:auto val="1"/>
        <c:lblAlgn val="ctr"/>
        <c:lblOffset val="100"/>
        <c:noMultiLvlLbl val="0"/>
      </c:catAx>
      <c:valAx>
        <c:axId val="140008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Attrition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843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Attrition Rate Per Year by Age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Band Per Year'!$G$28</c:f>
              <c:strCache>
                <c:ptCount val="1"/>
                <c:pt idx="0">
                  <c:v>14 or less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'Age Band Per Year'!$F$29:$F$34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'Age Band Per Year'!$G$29:$G$34</c:f>
              <c:numCache>
                <c:formatCode>General</c:formatCode>
                <c:ptCount val="6"/>
                <c:pt idx="0">
                  <c:v>0.16666666666666666</c:v>
                </c:pt>
                <c:pt idx="1">
                  <c:v>0.16666666666666666</c:v>
                </c:pt>
                <c:pt idx="2">
                  <c:v>0.33333333333333331</c:v>
                </c:pt>
                <c:pt idx="3">
                  <c:v>0.27272727272727271</c:v>
                </c:pt>
                <c:pt idx="4">
                  <c:v>0.33333333333333331</c:v>
                </c:pt>
                <c:pt idx="5">
                  <c:v>0.13333333333333333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5B-4939-988A-8290E832A14E}"/>
            </c:ext>
          </c:extLst>
        </c:ser>
        <c:ser>
          <c:idx val="1"/>
          <c:order val="1"/>
          <c:tx>
            <c:strRef>
              <c:f>'Age Band Per Year'!$H$28</c:f>
              <c:strCache>
                <c:ptCount val="1"/>
                <c:pt idx="0">
                  <c:v>15 to 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'Age Band Per Year'!$F$29:$F$34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'Age Band Per Year'!$H$29:$H$34</c:f>
              <c:numCache>
                <c:formatCode>General</c:formatCode>
                <c:ptCount val="6"/>
                <c:pt idx="0">
                  <c:v>0.2295704242294635</c:v>
                </c:pt>
                <c:pt idx="1">
                  <c:v>0.2350225888823414</c:v>
                </c:pt>
                <c:pt idx="2">
                  <c:v>0.23210311092706662</c:v>
                </c:pt>
                <c:pt idx="3">
                  <c:v>0.23145094287368764</c:v>
                </c:pt>
                <c:pt idx="4">
                  <c:v>0.23216364877343718</c:v>
                </c:pt>
                <c:pt idx="5">
                  <c:v>0.23187567165412912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5B-4939-988A-8290E832A14E}"/>
            </c:ext>
          </c:extLst>
        </c:ser>
        <c:ser>
          <c:idx val="2"/>
          <c:order val="2"/>
          <c:tx>
            <c:strRef>
              <c:f>'Age Band Per Year'!$I$28</c:f>
              <c:strCache>
                <c:ptCount val="1"/>
                <c:pt idx="0">
                  <c:v>20 to 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'Age Band Per Year'!$F$29:$F$34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'Age Band Per Year'!$I$29:$I$34</c:f>
              <c:numCache>
                <c:formatCode>General</c:formatCode>
                <c:ptCount val="6"/>
                <c:pt idx="0">
                  <c:v>0.22844710852727174</c:v>
                </c:pt>
                <c:pt idx="1">
                  <c:v>0.22980453065877959</c:v>
                </c:pt>
                <c:pt idx="2">
                  <c:v>0.23464008936675276</c:v>
                </c:pt>
                <c:pt idx="3">
                  <c:v>0.23233012617771415</c:v>
                </c:pt>
                <c:pt idx="4">
                  <c:v>0.23405299313052011</c:v>
                </c:pt>
                <c:pt idx="5">
                  <c:v>0.23385150140001931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5B-4939-988A-8290E832A14E}"/>
            </c:ext>
          </c:extLst>
        </c:ser>
        <c:ser>
          <c:idx val="3"/>
          <c:order val="3"/>
          <c:tx>
            <c:strRef>
              <c:f>'Age Band Per Year'!$J$28</c:f>
              <c:strCache>
                <c:ptCount val="1"/>
                <c:pt idx="0">
                  <c:v>25 to 29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'Age Band Per Year'!$F$29:$F$34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'Age Band Per Year'!$J$29:$J$34</c:f>
              <c:numCache>
                <c:formatCode>General</c:formatCode>
                <c:ptCount val="6"/>
                <c:pt idx="0">
                  <c:v>0.22871277233659804</c:v>
                </c:pt>
                <c:pt idx="1">
                  <c:v>0.23030110359235206</c:v>
                </c:pt>
                <c:pt idx="2">
                  <c:v>0.2305915194686432</c:v>
                </c:pt>
                <c:pt idx="3">
                  <c:v>0.23288176204958069</c:v>
                </c:pt>
                <c:pt idx="4">
                  <c:v>0.22719662226104681</c:v>
                </c:pt>
                <c:pt idx="5">
                  <c:v>0.23340141035027551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5B-4939-988A-8290E832A14E}"/>
            </c:ext>
          </c:extLst>
        </c:ser>
        <c:ser>
          <c:idx val="4"/>
          <c:order val="4"/>
          <c:tx>
            <c:strRef>
              <c:f>'Age Band Per Year'!$K$28</c:f>
              <c:strCache>
                <c:ptCount val="1"/>
                <c:pt idx="0">
                  <c:v>30 to 34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'Age Band Per Year'!$F$29:$F$34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'Age Band Per Year'!$K$29:$K$34</c:f>
              <c:numCache>
                <c:formatCode>General</c:formatCode>
                <c:ptCount val="6"/>
                <c:pt idx="0">
                  <c:v>0.22862862862862862</c:v>
                </c:pt>
                <c:pt idx="1">
                  <c:v>0.2348086341374932</c:v>
                </c:pt>
                <c:pt idx="2">
                  <c:v>0.2286977886977887</c:v>
                </c:pt>
                <c:pt idx="3">
                  <c:v>0.2278738555442523</c:v>
                </c:pt>
                <c:pt idx="4">
                  <c:v>0.23684983837790186</c:v>
                </c:pt>
                <c:pt idx="5">
                  <c:v>0.22717882010865406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5B-4939-988A-8290E832A14E}"/>
            </c:ext>
          </c:extLst>
        </c:ser>
        <c:ser>
          <c:idx val="5"/>
          <c:order val="5"/>
          <c:tx>
            <c:strRef>
              <c:f>'Age Band Per Year'!$L$28</c:f>
              <c:strCache>
                <c:ptCount val="1"/>
                <c:pt idx="0">
                  <c:v>35 to 39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'Age Band Per Year'!$F$29:$F$34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'Age Band Per Year'!$L$29:$L$34</c:f>
              <c:numCache>
                <c:formatCode>General</c:formatCode>
                <c:ptCount val="6"/>
                <c:pt idx="0">
                  <c:v>0.23133886255924171</c:v>
                </c:pt>
                <c:pt idx="1">
                  <c:v>0.23613715510313421</c:v>
                </c:pt>
                <c:pt idx="2">
                  <c:v>0.22762478485370052</c:v>
                </c:pt>
                <c:pt idx="3">
                  <c:v>0.2348611111111111</c:v>
                </c:pt>
                <c:pt idx="4">
                  <c:v>0.23804813715792944</c:v>
                </c:pt>
                <c:pt idx="5">
                  <c:v>0.23532084043157298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65B-4939-988A-8290E832A14E}"/>
            </c:ext>
          </c:extLst>
        </c:ser>
        <c:ser>
          <c:idx val="6"/>
          <c:order val="6"/>
          <c:tx>
            <c:strRef>
              <c:f>'Age Band Per Year'!$M$28</c:f>
              <c:strCache>
                <c:ptCount val="1"/>
                <c:pt idx="0">
                  <c:v>40 to 44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'Age Band Per Year'!$F$29:$F$34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'Age Band Per Year'!$M$29:$M$34</c:f>
              <c:numCache>
                <c:formatCode>General</c:formatCode>
                <c:ptCount val="6"/>
                <c:pt idx="0">
                  <c:v>0.22791482184271558</c:v>
                </c:pt>
                <c:pt idx="1">
                  <c:v>0.23705069124423964</c:v>
                </c:pt>
                <c:pt idx="2">
                  <c:v>0.23626922308767725</c:v>
                </c:pt>
                <c:pt idx="3">
                  <c:v>0.23341617281590518</c:v>
                </c:pt>
                <c:pt idx="4">
                  <c:v>0.22888888888888889</c:v>
                </c:pt>
                <c:pt idx="5">
                  <c:v>0.23256177666562403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65B-4939-988A-8290E832A14E}"/>
            </c:ext>
          </c:extLst>
        </c:ser>
        <c:ser>
          <c:idx val="7"/>
          <c:order val="7"/>
          <c:tx>
            <c:strRef>
              <c:f>'Age Band Per Year'!$N$28</c:f>
              <c:strCache>
                <c:ptCount val="1"/>
                <c:pt idx="0">
                  <c:v>45 to 49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'Age Band Per Year'!$F$29:$F$34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'Age Band Per Year'!$N$29:$N$34</c:f>
              <c:numCache>
                <c:formatCode>General</c:formatCode>
                <c:ptCount val="6"/>
                <c:pt idx="0">
                  <c:v>0.23115438108484004</c:v>
                </c:pt>
                <c:pt idx="1">
                  <c:v>0.23389915127309036</c:v>
                </c:pt>
                <c:pt idx="2">
                  <c:v>0.23358449946178686</c:v>
                </c:pt>
                <c:pt idx="3">
                  <c:v>0.2411510058568882</c:v>
                </c:pt>
                <c:pt idx="4">
                  <c:v>0.23486535735978942</c:v>
                </c:pt>
                <c:pt idx="5">
                  <c:v>0.23421633554083884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65B-4939-988A-8290E832A14E}"/>
            </c:ext>
          </c:extLst>
        </c:ser>
        <c:ser>
          <c:idx val="8"/>
          <c:order val="8"/>
          <c:tx>
            <c:strRef>
              <c:f>'Age Band Per Year'!$O$28</c:f>
              <c:strCache>
                <c:ptCount val="1"/>
                <c:pt idx="0">
                  <c:v>50 to 54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'Age Band Per Year'!$F$29:$F$34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'Age Band Per Year'!$O$29:$O$34</c:f>
              <c:numCache>
                <c:formatCode>General</c:formatCode>
                <c:ptCount val="6"/>
                <c:pt idx="0">
                  <c:v>0.24471299093655588</c:v>
                </c:pt>
                <c:pt idx="1">
                  <c:v>0.21758691206543967</c:v>
                </c:pt>
                <c:pt idx="2">
                  <c:v>0.21799912625600698</c:v>
                </c:pt>
                <c:pt idx="3">
                  <c:v>0.2339486356340289</c:v>
                </c:pt>
                <c:pt idx="4">
                  <c:v>0.2274173027989822</c:v>
                </c:pt>
                <c:pt idx="5">
                  <c:v>0.25614150016377335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5B-4939-988A-8290E832A14E}"/>
            </c:ext>
          </c:extLst>
        </c:ser>
        <c:ser>
          <c:idx val="9"/>
          <c:order val="9"/>
          <c:tx>
            <c:strRef>
              <c:f>'Age Band Per Year'!$P$28</c:f>
              <c:strCache>
                <c:ptCount val="1"/>
                <c:pt idx="0">
                  <c:v>55 to 59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'Age Band Per Year'!$F$29:$F$34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'Age Band Per Year'!$P$29:$P$34</c:f>
              <c:numCache>
                <c:formatCode>General</c:formatCode>
                <c:ptCount val="6"/>
                <c:pt idx="0">
                  <c:v>0.24705882352941178</c:v>
                </c:pt>
                <c:pt idx="1">
                  <c:v>0.24027072758037224</c:v>
                </c:pt>
                <c:pt idx="2">
                  <c:v>0.22956521739130434</c:v>
                </c:pt>
                <c:pt idx="3">
                  <c:v>0.23479005998286204</c:v>
                </c:pt>
                <c:pt idx="4">
                  <c:v>0.21463757916959889</c:v>
                </c:pt>
                <c:pt idx="5">
                  <c:v>0.25679542203147354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65B-4939-988A-8290E832A14E}"/>
            </c:ext>
          </c:extLst>
        </c:ser>
        <c:ser>
          <c:idx val="10"/>
          <c:order val="10"/>
          <c:tx>
            <c:strRef>
              <c:f>'Age Band Per Year'!$Q$28</c:f>
              <c:strCache>
                <c:ptCount val="1"/>
                <c:pt idx="0">
                  <c:v>60 or more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'Age Band Per Year'!$F$29:$F$34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'Age Band Per Year'!$Q$29:$Q$34</c:f>
              <c:numCache>
                <c:formatCode>General</c:formatCode>
                <c:ptCount val="6"/>
                <c:pt idx="0">
                  <c:v>0.23694779116465864</c:v>
                </c:pt>
                <c:pt idx="1">
                  <c:v>0.23652173913043478</c:v>
                </c:pt>
                <c:pt idx="2">
                  <c:v>0.23134328358208955</c:v>
                </c:pt>
                <c:pt idx="3">
                  <c:v>0.21851851851851853</c:v>
                </c:pt>
                <c:pt idx="4">
                  <c:v>0.23065693430656933</c:v>
                </c:pt>
                <c:pt idx="5">
                  <c:v>0.23458646616541354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65B-4939-988A-8290E832A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0539839"/>
        <c:axId val="1399926607"/>
      </c:barChart>
      <c:catAx>
        <c:axId val="1400539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Enrolment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926607"/>
        <c:crosses val="autoZero"/>
        <c:auto val="1"/>
        <c:lblAlgn val="ctr"/>
        <c:lblOffset val="100"/>
        <c:noMultiLvlLbl val="0"/>
      </c:catAx>
      <c:valAx>
        <c:axId val="139992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Attrition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53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Attrition Rate by Student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Gender!$A$2:$A$6</c:f>
              <c:strCache>
                <c:ptCount val="5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  <c:pt idx="3">
                  <c:v>Other</c:v>
                </c:pt>
                <c:pt idx="4">
                  <c:v>Prefer not to answer</c:v>
                </c:pt>
              </c:strCache>
            </c:strRef>
          </c:cat>
          <c:val>
            <c:numRef>
              <c:f>Gender!$B$2:$B$6</c:f>
              <c:numCache>
                <c:formatCode>General</c:formatCode>
                <c:ptCount val="5"/>
                <c:pt idx="0">
                  <c:v>0.23211017882227875</c:v>
                </c:pt>
                <c:pt idx="1">
                  <c:v>0.23214831691734175</c:v>
                </c:pt>
                <c:pt idx="2">
                  <c:v>0.20987654320987653</c:v>
                </c:pt>
                <c:pt idx="3">
                  <c:v>0.22930933281158286</c:v>
                </c:pt>
                <c:pt idx="4">
                  <c:v>0.30526315789473685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57-49FD-BB88-EFD66CF16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9465183"/>
        <c:axId val="1756895887"/>
      </c:barChart>
      <c:catAx>
        <c:axId val="1749465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Student 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895887"/>
        <c:crosses val="autoZero"/>
        <c:auto val="1"/>
        <c:lblAlgn val="ctr"/>
        <c:lblOffset val="100"/>
        <c:noMultiLvlLbl val="0"/>
      </c:catAx>
      <c:valAx>
        <c:axId val="175689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Attrition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465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Attrition Rate Per Year by Student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Per Year'!$G$26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'Gender Per Year'!$F$27:$F$32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'Gender Per Year'!$G$27:$G$32</c:f>
              <c:numCache>
                <c:formatCode>General</c:formatCode>
                <c:ptCount val="6"/>
                <c:pt idx="0">
                  <c:v>0.23015810997369174</c:v>
                </c:pt>
                <c:pt idx="1">
                  <c:v>0.23125928567183693</c:v>
                </c:pt>
                <c:pt idx="2">
                  <c:v>0.23238583293363291</c:v>
                </c:pt>
                <c:pt idx="3">
                  <c:v>0.23121939423251314</c:v>
                </c:pt>
                <c:pt idx="4">
                  <c:v>0.23234830120435568</c:v>
                </c:pt>
                <c:pt idx="5">
                  <c:v>0.23459630311274707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DE-4504-872D-B5CA8FC45592}"/>
            </c:ext>
          </c:extLst>
        </c:ser>
        <c:ser>
          <c:idx val="1"/>
          <c:order val="1"/>
          <c:tx>
            <c:strRef>
              <c:f>'Gender Per Year'!$H$26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'Gender Per Year'!$F$27:$F$32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'Gender Per Year'!$H$27:$H$32</c:f>
              <c:numCache>
                <c:formatCode>General</c:formatCode>
                <c:ptCount val="6"/>
                <c:pt idx="0">
                  <c:v>0.22880234205895636</c:v>
                </c:pt>
                <c:pt idx="1">
                  <c:v>0.2333191247513498</c:v>
                </c:pt>
                <c:pt idx="2">
                  <c:v>0.23234586466165413</c:v>
                </c:pt>
                <c:pt idx="3">
                  <c:v>0.23331554427312456</c:v>
                </c:pt>
                <c:pt idx="4">
                  <c:v>0.23288612115939375</c:v>
                </c:pt>
                <c:pt idx="5">
                  <c:v>0.23183733896868322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DE-4504-872D-B5CA8FC45592}"/>
            </c:ext>
          </c:extLst>
        </c:ser>
        <c:ser>
          <c:idx val="2"/>
          <c:order val="2"/>
          <c:tx>
            <c:strRef>
              <c:f>'Gender Per Year'!$I$26</c:f>
              <c:strCache>
                <c:ptCount val="1"/>
                <c:pt idx="0">
                  <c:v>Non-Binary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'Gender Per Year'!$F$27:$F$32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'Gender Per Year'!$I$27:$I$32</c:f>
              <c:numCache>
                <c:formatCode>General</c:formatCode>
                <c:ptCount val="6"/>
                <c:pt idx="0">
                  <c:v>6.4516129032258063E-2</c:v>
                </c:pt>
                <c:pt idx="1">
                  <c:v>0.2857142857142857</c:v>
                </c:pt>
                <c:pt idx="2">
                  <c:v>0.24324324324324326</c:v>
                </c:pt>
                <c:pt idx="3">
                  <c:v>0.16666666666666666</c:v>
                </c:pt>
                <c:pt idx="4">
                  <c:v>0.22</c:v>
                </c:pt>
                <c:pt idx="5">
                  <c:v>0.23404255319148937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DE-4504-872D-B5CA8FC45592}"/>
            </c:ext>
          </c:extLst>
        </c:ser>
        <c:ser>
          <c:idx val="3"/>
          <c:order val="3"/>
          <c:tx>
            <c:strRef>
              <c:f>'Gender Per Year'!$J$26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'Gender Per Year'!$F$27:$F$32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'Gender Per Year'!$J$27:$J$32</c:f>
              <c:numCache>
                <c:formatCode>General</c:formatCode>
                <c:ptCount val="6"/>
                <c:pt idx="0">
                  <c:v>0.2129032258064516</c:v>
                </c:pt>
                <c:pt idx="1">
                  <c:v>0.22596153846153846</c:v>
                </c:pt>
                <c:pt idx="2">
                  <c:v>0.22908622908622908</c:v>
                </c:pt>
                <c:pt idx="3">
                  <c:v>0.24617346938775511</c:v>
                </c:pt>
                <c:pt idx="4">
                  <c:v>0.22176591375770022</c:v>
                </c:pt>
                <c:pt idx="5">
                  <c:v>0.23942208462332301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DE-4504-872D-B5CA8FC45592}"/>
            </c:ext>
          </c:extLst>
        </c:ser>
        <c:ser>
          <c:idx val="4"/>
          <c:order val="4"/>
          <c:tx>
            <c:strRef>
              <c:f>'Gender Per Year'!$K$26</c:f>
              <c:strCache>
                <c:ptCount val="1"/>
                <c:pt idx="0">
                  <c:v>Prefer not to answer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'Gender Per Year'!$F$27:$F$32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'Gender Per Year'!$K$27:$K$32</c:f>
              <c:numCache>
                <c:formatCode>General</c:formatCode>
                <c:ptCount val="6"/>
                <c:pt idx="0">
                  <c:v>0.26666666666666666</c:v>
                </c:pt>
                <c:pt idx="1">
                  <c:v>0.1</c:v>
                </c:pt>
                <c:pt idx="2">
                  <c:v>0.4</c:v>
                </c:pt>
                <c:pt idx="3">
                  <c:v>0.35</c:v>
                </c:pt>
                <c:pt idx="4">
                  <c:v>0.41176470588235292</c:v>
                </c:pt>
                <c:pt idx="5">
                  <c:v>0.22222222222222221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DE-4504-872D-B5CA8FC45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5468655"/>
        <c:axId val="1756797967"/>
      </c:barChart>
      <c:catAx>
        <c:axId val="1695468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Enrolment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797967"/>
        <c:crosses val="autoZero"/>
        <c:auto val="1"/>
        <c:lblAlgn val="ctr"/>
        <c:lblOffset val="100"/>
        <c:noMultiLvlLbl val="0"/>
      </c:catAx>
      <c:valAx>
        <c:axId val="175679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Attrition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46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Attrition Rate by Socioeconomic</a:t>
            </a:r>
            <a:r>
              <a:rPr lang="en-AU" baseline="0"/>
              <a:t> Status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SES!$A$2:$A$5</c:f>
              <c:strCache>
                <c:ptCount val="4"/>
                <c:pt idx="0">
                  <c:v>High SES</c:v>
                </c:pt>
                <c:pt idx="1">
                  <c:v>Low SES</c:v>
                </c:pt>
                <c:pt idx="2">
                  <c:v>Medium SES</c:v>
                </c:pt>
                <c:pt idx="3">
                  <c:v>Unknown / Not stated</c:v>
                </c:pt>
              </c:strCache>
            </c:strRef>
          </c:cat>
          <c:val>
            <c:numRef>
              <c:f>SES!$B$2:$B$5</c:f>
              <c:numCache>
                <c:formatCode>General</c:formatCode>
                <c:ptCount val="4"/>
                <c:pt idx="0">
                  <c:v>0.23223829287936371</c:v>
                </c:pt>
                <c:pt idx="1">
                  <c:v>0.23063253898205355</c:v>
                </c:pt>
                <c:pt idx="2">
                  <c:v>0.23223247531163996</c:v>
                </c:pt>
                <c:pt idx="3">
                  <c:v>0.23231893047930302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D5-4F62-91DF-EDCE12497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1819679"/>
        <c:axId val="1042554127"/>
      </c:barChart>
      <c:catAx>
        <c:axId val="1051819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Socioeconomic 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554127"/>
        <c:crosses val="autoZero"/>
        <c:auto val="1"/>
        <c:lblAlgn val="ctr"/>
        <c:lblOffset val="100"/>
        <c:noMultiLvlLbl val="0"/>
      </c:catAx>
      <c:valAx>
        <c:axId val="104255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Attrition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819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Attrition Rate Per Year by Socioeconomic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'SES Per Year'!$G$26</c:f>
              <c:strCache>
                <c:ptCount val="1"/>
                <c:pt idx="0">
                  <c:v>High 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'SES Per Year'!$F$27:$F$32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'SES Per Year'!$G$27:$G$32</c:f>
              <c:numCache>
                <c:formatCode>General</c:formatCode>
                <c:ptCount val="6"/>
                <c:pt idx="0">
                  <c:v>0.22842064251053731</c:v>
                </c:pt>
                <c:pt idx="1">
                  <c:v>0.2336275786664094</c:v>
                </c:pt>
                <c:pt idx="2">
                  <c:v>0.23416812070204249</c:v>
                </c:pt>
                <c:pt idx="3">
                  <c:v>0.23222974750131509</c:v>
                </c:pt>
                <c:pt idx="4">
                  <c:v>0.23284205034563715</c:v>
                </c:pt>
                <c:pt idx="5">
                  <c:v>0.23184078257579852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0C-42F3-8ECD-C9DBB81A4E8F}"/>
            </c:ext>
          </c:extLst>
        </c:ser>
        <c:ser>
          <c:idx val="1"/>
          <c:order val="1"/>
          <c:tx>
            <c:strRef>
              <c:f>'SES Per Year'!$H$26</c:f>
              <c:strCache>
                <c:ptCount val="1"/>
                <c:pt idx="0">
                  <c:v>Low 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'SES Per Year'!$F$27:$F$32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'SES Per Year'!$H$27:$H$32</c:f>
              <c:numCache>
                <c:formatCode>General</c:formatCode>
                <c:ptCount val="6"/>
                <c:pt idx="0">
                  <c:v>0.22892252604166666</c:v>
                </c:pt>
                <c:pt idx="1">
                  <c:v>0.23240890986871221</c:v>
                </c:pt>
                <c:pt idx="2">
                  <c:v>0.22326454033771106</c:v>
                </c:pt>
                <c:pt idx="3">
                  <c:v>0.2325355997912473</c:v>
                </c:pt>
                <c:pt idx="4">
                  <c:v>0.23379478343532767</c:v>
                </c:pt>
                <c:pt idx="5">
                  <c:v>0.23140495867768596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0C-42F3-8ECD-C9DBB81A4E8F}"/>
            </c:ext>
          </c:extLst>
        </c:ser>
        <c:ser>
          <c:idx val="2"/>
          <c:order val="2"/>
          <c:tx>
            <c:strRef>
              <c:f>'SES Per Year'!$I$26</c:f>
              <c:strCache>
                <c:ptCount val="1"/>
                <c:pt idx="0">
                  <c:v>Medium SES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'SES Per Year'!$F$27:$F$32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'SES Per Year'!$I$27:$I$32</c:f>
              <c:numCache>
                <c:formatCode>General</c:formatCode>
                <c:ptCount val="6"/>
                <c:pt idx="0">
                  <c:v>0.23046675890191509</c:v>
                </c:pt>
                <c:pt idx="1">
                  <c:v>0.23052608311229</c:v>
                </c:pt>
                <c:pt idx="2">
                  <c:v>0.23316086328252458</c:v>
                </c:pt>
                <c:pt idx="3">
                  <c:v>0.23287302121926576</c:v>
                </c:pt>
                <c:pt idx="4">
                  <c:v>0.23093689638673778</c:v>
                </c:pt>
                <c:pt idx="5">
                  <c:v>0.2351061655923167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0C-42F3-8ECD-C9DBB81A4E8F}"/>
            </c:ext>
          </c:extLst>
        </c:ser>
        <c:ser>
          <c:idx val="3"/>
          <c:order val="3"/>
          <c:tx>
            <c:strRef>
              <c:f>'SES Per Year'!$J$26</c:f>
              <c:strCache>
                <c:ptCount val="1"/>
                <c:pt idx="0">
                  <c:v>Unknown / Not stated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'SES Per Year'!$F$27:$F$32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'SES Per Year'!$J$27:$J$32</c:f>
              <c:numCache>
                <c:formatCode>General</c:formatCode>
                <c:ptCount val="6"/>
                <c:pt idx="0">
                  <c:v>0.23001851445068566</c:v>
                </c:pt>
                <c:pt idx="1">
                  <c:v>0.2316031155545222</c:v>
                </c:pt>
                <c:pt idx="2">
                  <c:v>0.23167381709312015</c:v>
                </c:pt>
                <c:pt idx="3">
                  <c:v>0.23134678554669169</c:v>
                </c:pt>
                <c:pt idx="4">
                  <c:v>0.23368143136654015</c:v>
                </c:pt>
                <c:pt idx="5">
                  <c:v>0.23462565207807792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0C-42F3-8ECD-C9DBB81A4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1831279"/>
        <c:axId val="1399873807"/>
      </c:barChart>
      <c:catAx>
        <c:axId val="1051831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Enrolment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873807"/>
        <c:crosses val="autoZero"/>
        <c:auto val="1"/>
        <c:lblAlgn val="ctr"/>
        <c:lblOffset val="100"/>
        <c:noMultiLvlLbl val="0"/>
      </c:catAx>
      <c:valAx>
        <c:axId val="139987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Attrition</a:t>
                </a:r>
                <a:r>
                  <a:rPr lang="en-AU" baseline="0"/>
                  <a:t> Rate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831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Attrition Rate by Regional / Remote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'Regional-Remote'!$A$2:$A$7</c:f>
              <c:strCache>
                <c:ptCount val="6"/>
                <c:pt idx="0">
                  <c:v>Inner Regional</c:v>
                </c:pt>
                <c:pt idx="1">
                  <c:v>Major Cities</c:v>
                </c:pt>
                <c:pt idx="2">
                  <c:v>Outer Regional</c:v>
                </c:pt>
                <c:pt idx="3">
                  <c:v>Remote</c:v>
                </c:pt>
                <c:pt idx="4">
                  <c:v>Unknown / Not stated</c:v>
                </c:pt>
                <c:pt idx="5">
                  <c:v>Very Remote</c:v>
                </c:pt>
              </c:strCache>
            </c:strRef>
          </c:cat>
          <c:val>
            <c:numRef>
              <c:f>'Regional-Remote'!$B$2:$B$7</c:f>
              <c:numCache>
                <c:formatCode>General</c:formatCode>
                <c:ptCount val="6"/>
                <c:pt idx="0">
                  <c:v>0.23327934833154274</c:v>
                </c:pt>
                <c:pt idx="1">
                  <c:v>0.23246400017377353</c:v>
                </c:pt>
                <c:pt idx="2">
                  <c:v>0.23159800034476816</c:v>
                </c:pt>
                <c:pt idx="3">
                  <c:v>0.22406159769008663</c:v>
                </c:pt>
                <c:pt idx="4">
                  <c:v>0.23104835812315871</c:v>
                </c:pt>
                <c:pt idx="5">
                  <c:v>0.23191842542091534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34-498F-8534-6D578DAF1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8553279"/>
        <c:axId val="1042548847"/>
      </c:barChart>
      <c:catAx>
        <c:axId val="1698553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Regional / Remote 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548847"/>
        <c:crosses val="autoZero"/>
        <c:auto val="1"/>
        <c:lblAlgn val="ctr"/>
        <c:lblOffset val="100"/>
        <c:noMultiLvlLbl val="0"/>
      </c:catAx>
      <c:valAx>
        <c:axId val="104254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Attrition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553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Attrition Rate Per Year by Regional / Remote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'Regional-Remote Per Year'!$G$27</c:f>
              <c:strCache>
                <c:ptCount val="1"/>
                <c:pt idx="0">
                  <c:v>Inner Regional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'Regional-Remote Per Year'!$F$28:$F$33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'Regional-Remote Per Year'!$G$28:$G$33</c:f>
              <c:numCache>
                <c:formatCode>General</c:formatCode>
                <c:ptCount val="6"/>
                <c:pt idx="0">
                  <c:v>0.22835332606324973</c:v>
                </c:pt>
                <c:pt idx="1">
                  <c:v>0.23830890417788414</c:v>
                </c:pt>
                <c:pt idx="2">
                  <c:v>0.23668449197860963</c:v>
                </c:pt>
                <c:pt idx="3">
                  <c:v>0.23075352256483561</c:v>
                </c:pt>
                <c:pt idx="4">
                  <c:v>0.2292840570102751</c:v>
                </c:pt>
                <c:pt idx="5">
                  <c:v>0.23627844712182061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F-49E3-8EE3-6816C099B23A}"/>
            </c:ext>
          </c:extLst>
        </c:ser>
        <c:ser>
          <c:idx val="1"/>
          <c:order val="1"/>
          <c:tx>
            <c:strRef>
              <c:f>'Regional-Remote Per Year'!$H$27</c:f>
              <c:strCache>
                <c:ptCount val="1"/>
                <c:pt idx="0">
                  <c:v>Major Cities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'Regional-Remote Per Year'!$F$28:$F$33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'Regional-Remote Per Year'!$H$28:$H$33</c:f>
              <c:numCache>
                <c:formatCode>General</c:formatCode>
                <c:ptCount val="6"/>
                <c:pt idx="0">
                  <c:v>0.22988297293549109</c:v>
                </c:pt>
                <c:pt idx="1">
                  <c:v>0.2312949710430357</c:v>
                </c:pt>
                <c:pt idx="2">
                  <c:v>0.23300680552691277</c:v>
                </c:pt>
                <c:pt idx="3">
                  <c:v>0.23303241083321</c:v>
                </c:pt>
                <c:pt idx="4">
                  <c:v>0.23329829295845361</c:v>
                </c:pt>
                <c:pt idx="5">
                  <c:v>0.23365058616886564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EF-49E3-8EE3-6816C099B23A}"/>
            </c:ext>
          </c:extLst>
        </c:ser>
        <c:ser>
          <c:idx val="2"/>
          <c:order val="2"/>
          <c:tx>
            <c:strRef>
              <c:f>'Regional-Remote Per Year'!$I$27</c:f>
              <c:strCache>
                <c:ptCount val="1"/>
                <c:pt idx="0">
                  <c:v>Outer Regional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'Regional-Remote Per Year'!$F$28:$F$33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'Regional-Remote Per Year'!$I$28:$I$33</c:f>
              <c:numCache>
                <c:formatCode>General</c:formatCode>
                <c:ptCount val="6"/>
                <c:pt idx="0">
                  <c:v>0.23092249452082089</c:v>
                </c:pt>
                <c:pt idx="1">
                  <c:v>0.2342133428469497</c:v>
                </c:pt>
                <c:pt idx="2">
                  <c:v>0.23253128007699711</c:v>
                </c:pt>
                <c:pt idx="3">
                  <c:v>0.22437066763954761</c:v>
                </c:pt>
                <c:pt idx="4">
                  <c:v>0.23041207196749855</c:v>
                </c:pt>
                <c:pt idx="5">
                  <c:v>0.23638838475499094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EF-49E3-8EE3-6816C099B23A}"/>
            </c:ext>
          </c:extLst>
        </c:ser>
        <c:ser>
          <c:idx val="3"/>
          <c:order val="3"/>
          <c:tx>
            <c:strRef>
              <c:f>'Regional-Remote Per Year'!$J$27</c:f>
              <c:strCache>
                <c:ptCount val="1"/>
                <c:pt idx="0">
                  <c:v>Remote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'Regional-Remote Per Year'!$F$28:$F$33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'Regional-Remote Per Year'!$J$28:$J$33</c:f>
              <c:numCache>
                <c:formatCode>General</c:formatCode>
                <c:ptCount val="6"/>
                <c:pt idx="0">
                  <c:v>0.22178477690288714</c:v>
                </c:pt>
                <c:pt idx="1">
                  <c:v>0.23258559622195984</c:v>
                </c:pt>
                <c:pt idx="2">
                  <c:v>0.2266839378238342</c:v>
                </c:pt>
                <c:pt idx="3">
                  <c:v>0.23209876543209876</c:v>
                </c:pt>
                <c:pt idx="4">
                  <c:v>0.22211445198836083</c:v>
                </c:pt>
                <c:pt idx="5">
                  <c:v>0.2117163412127441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EF-49E3-8EE3-6816C099B23A}"/>
            </c:ext>
          </c:extLst>
        </c:ser>
        <c:ser>
          <c:idx val="4"/>
          <c:order val="4"/>
          <c:tx>
            <c:strRef>
              <c:f>'Regional-Remote Per Year'!$K$27</c:f>
              <c:strCache>
                <c:ptCount val="1"/>
                <c:pt idx="0">
                  <c:v>Unknown / Not stated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'Regional-Remote Per Year'!$F$28:$F$33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'Regional-Remote Per Year'!$K$28:$K$33</c:f>
              <c:numCache>
                <c:formatCode>General</c:formatCode>
                <c:ptCount val="6"/>
                <c:pt idx="0">
                  <c:v>0.22797035032140989</c:v>
                </c:pt>
                <c:pt idx="1">
                  <c:v>0.23247729056857688</c:v>
                </c:pt>
                <c:pt idx="2">
                  <c:v>0.2292143515353289</c:v>
                </c:pt>
                <c:pt idx="3">
                  <c:v>0.23217056491006263</c:v>
                </c:pt>
                <c:pt idx="4">
                  <c:v>0.23216272048307643</c:v>
                </c:pt>
                <c:pt idx="5">
                  <c:v>0.23158797056932637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EF-49E3-8EE3-6816C099B23A}"/>
            </c:ext>
          </c:extLst>
        </c:ser>
        <c:ser>
          <c:idx val="5"/>
          <c:order val="5"/>
          <c:tx>
            <c:strRef>
              <c:f>'Regional-Remote Per Year'!$L$27</c:f>
              <c:strCache>
                <c:ptCount val="1"/>
                <c:pt idx="0">
                  <c:v>Very Remote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'Regional-Remote Per Year'!$F$28:$F$33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'Regional-Remote Per Year'!$L$28:$L$33</c:f>
              <c:numCache>
                <c:formatCode>General</c:formatCode>
                <c:ptCount val="6"/>
                <c:pt idx="0">
                  <c:v>0.24797406807131281</c:v>
                </c:pt>
                <c:pt idx="1">
                  <c:v>0.24011713030746706</c:v>
                </c:pt>
                <c:pt idx="2">
                  <c:v>0.24473257698541329</c:v>
                </c:pt>
                <c:pt idx="3">
                  <c:v>0.20221169036334913</c:v>
                </c:pt>
                <c:pt idx="4">
                  <c:v>0.21692491060786651</c:v>
                </c:pt>
                <c:pt idx="5">
                  <c:v>0.24154589371980675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1EF-49E3-8EE3-6816C099B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9764303"/>
        <c:axId val="1756666927"/>
      </c:barChart>
      <c:catAx>
        <c:axId val="1709764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Enrolment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666927"/>
        <c:crosses val="autoZero"/>
        <c:auto val="1"/>
        <c:lblAlgn val="ctr"/>
        <c:lblOffset val="100"/>
        <c:noMultiLvlLbl val="0"/>
      </c:catAx>
      <c:valAx>
        <c:axId val="175666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Attrition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76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Attrition</a:t>
            </a:r>
            <a:r>
              <a:rPr lang="en-AU" baseline="0"/>
              <a:t> Rate by Student is First Nations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'First Nations'!$A$2:$A$3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'First Nations'!$B$2:$B$3</c:f>
              <c:numCache>
                <c:formatCode>General</c:formatCode>
                <c:ptCount val="2"/>
                <c:pt idx="0">
                  <c:v>0.2321377214384992</c:v>
                </c:pt>
                <c:pt idx="1">
                  <c:v>0.23084362022868196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3-4308-9D08-45DD0F359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5338735"/>
        <c:axId val="1400011567"/>
      </c:barChart>
      <c:catAx>
        <c:axId val="1695338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Student is</a:t>
                </a:r>
                <a:r>
                  <a:rPr lang="en-AU" baseline="0"/>
                  <a:t> First Nations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0011567"/>
        <c:crosses val="autoZero"/>
        <c:auto val="1"/>
        <c:lblAlgn val="ctr"/>
        <c:lblOffset val="100"/>
        <c:noMultiLvlLbl val="0"/>
      </c:catAx>
      <c:valAx>
        <c:axId val="140001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Attrition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338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Attrition Rate Per</a:t>
            </a:r>
            <a:r>
              <a:rPr lang="en-AU" baseline="0"/>
              <a:t> Year by Student is First Nations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'First Nations Per Year'!$G$22</c:f>
              <c:strCache>
                <c:ptCount val="1"/>
                <c:pt idx="0">
                  <c:v>FALSE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'First Nations Per Year'!$F$23:$F$28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'First Nations Per Year'!$G$23:$G$28</c:f>
              <c:numCache>
                <c:formatCode>General</c:formatCode>
                <c:ptCount val="6"/>
                <c:pt idx="0">
                  <c:v>0.22956458052100986</c:v>
                </c:pt>
                <c:pt idx="1">
                  <c:v>0.23229630599947604</c:v>
                </c:pt>
                <c:pt idx="2">
                  <c:v>0.23233334028255537</c:v>
                </c:pt>
                <c:pt idx="3">
                  <c:v>0.23224172968651097</c:v>
                </c:pt>
                <c:pt idx="4">
                  <c:v>0.23243160273747837</c:v>
                </c:pt>
                <c:pt idx="5">
                  <c:v>0.23343297081467429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62-4AFE-9BAB-A1267A138BA1}"/>
            </c:ext>
          </c:extLst>
        </c:ser>
        <c:ser>
          <c:idx val="1"/>
          <c:order val="1"/>
          <c:tx>
            <c:strRef>
              <c:f>'First Nations Per Year'!$H$22</c:f>
              <c:strCache>
                <c:ptCount val="1"/>
                <c:pt idx="0">
                  <c:v>TRUE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'First Nations Per Year'!$F$23:$F$28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'First Nations Per Year'!$H$23:$H$28</c:f>
              <c:numCache>
                <c:formatCode>General</c:formatCode>
                <c:ptCount val="6"/>
                <c:pt idx="0">
                  <c:v>0.22139498432601881</c:v>
                </c:pt>
                <c:pt idx="1">
                  <c:v>0.22508275101140124</c:v>
                </c:pt>
                <c:pt idx="2">
                  <c:v>0.23436322532027129</c:v>
                </c:pt>
                <c:pt idx="3">
                  <c:v>0.23253314224292368</c:v>
                </c:pt>
                <c:pt idx="4">
                  <c:v>0.23918128654970761</c:v>
                </c:pt>
                <c:pt idx="5">
                  <c:v>0.23003194888178913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62-4AFE-9BAB-A1267A138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5466335"/>
        <c:axId val="1756821487"/>
      </c:barChart>
      <c:catAx>
        <c:axId val="1695466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Enrolment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821487"/>
        <c:crosses val="autoZero"/>
        <c:auto val="1"/>
        <c:lblAlgn val="ctr"/>
        <c:lblOffset val="100"/>
        <c:noMultiLvlLbl val="0"/>
      </c:catAx>
      <c:valAx>
        <c:axId val="175682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Attrition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466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Attrition Rate by Domestic vs International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International!$A$2:$A$3</c:f>
              <c:strCache>
                <c:ptCount val="2"/>
                <c:pt idx="0">
                  <c:v>Domestic</c:v>
                </c:pt>
                <c:pt idx="1">
                  <c:v>International</c:v>
                </c:pt>
              </c:strCache>
            </c:strRef>
          </c:cat>
          <c:val>
            <c:numRef>
              <c:f>International!$B$2:$B$3</c:f>
              <c:numCache>
                <c:formatCode>General</c:formatCode>
                <c:ptCount val="2"/>
                <c:pt idx="0">
                  <c:v>0.23130700872121718</c:v>
                </c:pt>
                <c:pt idx="1">
                  <c:v>0.23481508585299682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52-4F81-A3A6-A750A6D40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5257071"/>
        <c:axId val="1756643887"/>
      </c:barChart>
      <c:catAx>
        <c:axId val="1695257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Domestic vs International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643887"/>
        <c:crosses val="autoZero"/>
        <c:auto val="1"/>
        <c:lblAlgn val="ctr"/>
        <c:lblOffset val="100"/>
        <c:noMultiLvlLbl val="0"/>
      </c:catAx>
      <c:valAx>
        <c:axId val="175664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Attrition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257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Attrition Rate Per Year by Domestic</a:t>
            </a:r>
            <a:r>
              <a:rPr lang="en-AU" baseline="0"/>
              <a:t> vs International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'International Per Year'!$G$23</c:f>
              <c:strCache>
                <c:ptCount val="1"/>
                <c:pt idx="0">
                  <c:v>Domestic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'International Per Year'!$F$24:$F$29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'International Per Year'!$G$24:$G$29</c:f>
              <c:numCache>
                <c:formatCode>General</c:formatCode>
                <c:ptCount val="6"/>
                <c:pt idx="0">
                  <c:v>0.2287314354736871</c:v>
                </c:pt>
                <c:pt idx="1">
                  <c:v>0.23199819417621831</c:v>
                </c:pt>
                <c:pt idx="2">
                  <c:v>0.23163225486022421</c:v>
                </c:pt>
                <c:pt idx="3">
                  <c:v>0.23156339678388888</c:v>
                </c:pt>
                <c:pt idx="4">
                  <c:v>0.23138181204656655</c:v>
                </c:pt>
                <c:pt idx="5">
                  <c:v>0.23215756389770736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6-437B-8512-A7C46127FBE9}"/>
            </c:ext>
          </c:extLst>
        </c:ser>
        <c:ser>
          <c:idx val="1"/>
          <c:order val="1"/>
          <c:tx>
            <c:strRef>
              <c:f>'International Per Year'!$H$23</c:f>
              <c:strCache>
                <c:ptCount val="1"/>
                <c:pt idx="0">
                  <c:v>International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'International Per Year'!$F$24:$F$29</c:f>
              <c:numCache>
                <c:formatCode>General</c:formatCod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numCache>
            </c:numRef>
          </c:cat>
          <c:val>
            <c:numRef>
              <c:f>'International Per Year'!$H$24:$H$29</c:f>
              <c:numCache>
                <c:formatCode>General</c:formatCode>
                <c:ptCount val="6"/>
                <c:pt idx="0">
                  <c:v>0.23172193367958449</c:v>
                </c:pt>
                <c:pt idx="1">
                  <c:v>0.23274464874531939</c:v>
                </c:pt>
                <c:pt idx="2">
                  <c:v>0.23483122799751502</c:v>
                </c:pt>
                <c:pt idx="3">
                  <c:v>0.23454151706844475</c:v>
                </c:pt>
                <c:pt idx="4">
                  <c:v>0.23647516863597265</c:v>
                </c:pt>
                <c:pt idx="5">
                  <c:v>0.23740164855751217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26-437B-8512-A7C46127F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2007967"/>
        <c:axId val="1042563727"/>
      </c:barChart>
      <c:catAx>
        <c:axId val="1382007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Enrolment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563727"/>
        <c:crosses val="autoZero"/>
        <c:auto val="1"/>
        <c:lblAlgn val="ctr"/>
        <c:lblOffset val="100"/>
        <c:noMultiLvlLbl val="0"/>
      </c:catAx>
      <c:valAx>
        <c:axId val="104256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Attrition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007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</xdr:colOff>
      <xdr:row>1</xdr:row>
      <xdr:rowOff>3174</xdr:rowOff>
    </xdr:from>
    <xdr:to>
      <xdr:col>13</xdr:col>
      <xdr:colOff>6349</xdr:colOff>
      <xdr:row>20</xdr:row>
      <xdr:rowOff>38099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5D1604-3014-2E9E-F031-2B02364E60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</xdr:colOff>
      <xdr:row>0</xdr:row>
      <xdr:rowOff>180975</xdr:rowOff>
    </xdr:from>
    <xdr:to>
      <xdr:col>13</xdr:col>
      <xdr:colOff>12700</xdr:colOff>
      <xdr:row>18</xdr:row>
      <xdr:rowOff>177800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521F048-E2FA-49B2-E67F-150EFFD7F5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</xdr:colOff>
      <xdr:row>1</xdr:row>
      <xdr:rowOff>3174</xdr:rowOff>
    </xdr:from>
    <xdr:to>
      <xdr:col>12</xdr:col>
      <xdr:colOff>603249</xdr:colOff>
      <xdr:row>20</xdr:row>
      <xdr:rowOff>6349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5F3FB0-81A6-0256-2401-F050C89441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3174</xdr:colOff>
      <xdr:row>1</xdr:row>
      <xdr:rowOff>3174</xdr:rowOff>
    </xdr:from>
    <xdr:to>
      <xdr:col>14</xdr:col>
      <xdr:colOff>6349</xdr:colOff>
      <xdr:row>20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E9B119-7BAA-9BAB-741C-4EF5ED289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0</xdr:row>
      <xdr:rowOff>180974</xdr:rowOff>
    </xdr:from>
    <xdr:to>
      <xdr:col>11</xdr:col>
      <xdr:colOff>314325</xdr:colOff>
      <xdr:row>17</xdr:row>
      <xdr:rowOff>184149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85F0DF-E4F8-2A96-CB61-6072FFBB27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3174</xdr:colOff>
      <xdr:row>0</xdr:row>
      <xdr:rowOff>180975</xdr:rowOff>
    </xdr:from>
    <xdr:to>
      <xdr:col>13</xdr:col>
      <xdr:colOff>6350</xdr:colOff>
      <xdr:row>20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FA08D6-2CD8-1370-3DED-F09CE58AE9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</xdr:colOff>
      <xdr:row>1</xdr:row>
      <xdr:rowOff>9524</xdr:rowOff>
    </xdr:from>
    <xdr:to>
      <xdr:col>15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68F6EC-3596-7AED-A51B-90A784AE0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0</xdr:row>
      <xdr:rowOff>180974</xdr:rowOff>
    </xdr:from>
    <xdr:to>
      <xdr:col>22</xdr:col>
      <xdr:colOff>31749</xdr:colOff>
      <xdr:row>25</xdr:row>
      <xdr:rowOff>184149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014C3A-856E-037E-9C7F-3F4E6F8193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</xdr:colOff>
      <xdr:row>1</xdr:row>
      <xdr:rowOff>9524</xdr:rowOff>
    </xdr:from>
    <xdr:to>
      <xdr:col>15</xdr:col>
      <xdr:colOff>609599</xdr:colOff>
      <xdr:row>20</xdr:row>
      <xdr:rowOff>177799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304D9A-6035-F2E4-7A0F-7AB91AF308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3174</xdr:colOff>
      <xdr:row>1</xdr:row>
      <xdr:rowOff>9524</xdr:rowOff>
    </xdr:from>
    <xdr:to>
      <xdr:col>18</xdr:col>
      <xdr:colOff>12699</xdr:colOff>
      <xdr:row>24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96E74F-23BA-D8F9-21EC-4A99CCB40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</xdr:colOff>
      <xdr:row>0</xdr:row>
      <xdr:rowOff>180974</xdr:rowOff>
    </xdr:from>
    <xdr:to>
      <xdr:col>11</xdr:col>
      <xdr:colOff>609599</xdr:colOff>
      <xdr:row>17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ADA76C-0CE6-EB50-6CF9-C99039EDC4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9524</xdr:rowOff>
    </xdr:from>
    <xdr:to>
      <xdr:col>16</xdr:col>
      <xdr:colOff>6349</xdr:colOff>
      <xdr:row>23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B15993-AC34-3823-9BE5-D165B06BD0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</xdr:colOff>
      <xdr:row>1</xdr:row>
      <xdr:rowOff>3174</xdr:rowOff>
    </xdr:from>
    <xdr:to>
      <xdr:col>12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0EB6A4-0BF3-AAAA-8501-BF649DC55B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3175</xdr:rowOff>
    </xdr:from>
    <xdr:to>
      <xdr:col>15</xdr:col>
      <xdr:colOff>609599</xdr:colOff>
      <xdr:row>23</xdr:row>
      <xdr:rowOff>12701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C28C94-1CB7-7D32-DFBB-FCA233B77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</xdr:colOff>
      <xdr:row>1</xdr:row>
      <xdr:rowOff>12700</xdr:rowOff>
    </xdr:from>
    <xdr:to>
      <xdr:col>13</xdr:col>
      <xdr:colOff>6349</xdr:colOff>
      <xdr:row>21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70A886-80D6-A3CB-1C44-0DB79A9162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</xdr:colOff>
      <xdr:row>1</xdr:row>
      <xdr:rowOff>3175</xdr:rowOff>
    </xdr:from>
    <xdr:to>
      <xdr:col>12</xdr:col>
      <xdr:colOff>603251</xdr:colOff>
      <xdr:row>24</xdr:row>
      <xdr:rowOff>6351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20B3FF-0B86-27B0-2D0D-69FC97EA9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</xdr:colOff>
      <xdr:row>1</xdr:row>
      <xdr:rowOff>3175</xdr:rowOff>
    </xdr:from>
    <xdr:to>
      <xdr:col>11</xdr:col>
      <xdr:colOff>307975</xdr:colOff>
      <xdr:row>15</xdr:row>
      <xdr:rowOff>168275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96C574-1878-64FD-0B76-AE8C51CE51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3174</xdr:colOff>
      <xdr:row>1</xdr:row>
      <xdr:rowOff>9524</xdr:rowOff>
    </xdr:from>
    <xdr:to>
      <xdr:col>12</xdr:col>
      <xdr:colOff>603249</xdr:colOff>
      <xdr:row>18</xdr:row>
      <xdr:rowOff>184149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2A9743-0894-D72E-CF95-23F9A00A6A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</xdr:colOff>
      <xdr:row>1</xdr:row>
      <xdr:rowOff>3174</xdr:rowOff>
    </xdr:from>
    <xdr:to>
      <xdr:col>12</xdr:col>
      <xdr:colOff>1</xdr:colOff>
      <xdr:row>17</xdr:row>
      <xdr:rowOff>177799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DA4D3D-556E-778D-47E2-0DB7A1C2CD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3174</xdr:colOff>
      <xdr:row>1</xdr:row>
      <xdr:rowOff>3174</xdr:rowOff>
    </xdr:from>
    <xdr:to>
      <xdr:col>13</xdr:col>
      <xdr:colOff>603249</xdr:colOff>
      <xdr:row>19</xdr:row>
      <xdr:rowOff>184149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ABB88A-1167-520B-7C30-E424E7DC7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DC028-C6B7-46D0-8E13-36AD9F39F3AA}">
  <dimension ref="A1:B4"/>
  <sheetViews>
    <sheetView workbookViewId="0">
      <selection activeCell="C1" sqref="C1"/>
    </sheetView>
  </sheetViews>
  <sheetFormatPr defaultRowHeight="14.5" x14ac:dyDescent="0.35"/>
  <cols>
    <col min="1" max="1" width="16.26953125" customWidth="1"/>
    <col min="2" max="2" width="12.7265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0.22752572103221455</v>
      </c>
    </row>
    <row r="3" spans="1:2" x14ac:dyDescent="0.35">
      <c r="A3" t="s">
        <v>3</v>
      </c>
      <c r="B3">
        <v>0.23220283852323564</v>
      </c>
    </row>
    <row r="4" spans="1:2" x14ac:dyDescent="0.35">
      <c r="A4" t="s">
        <v>4</v>
      </c>
      <c r="B4">
        <v>0.23203873678534115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B831B-4A6E-4EEC-B485-ED265FE9EE08}">
  <dimension ref="A1:I28"/>
  <sheetViews>
    <sheetView workbookViewId="0">
      <selection activeCell="D1" sqref="D1"/>
    </sheetView>
  </sheetViews>
  <sheetFormatPr defaultRowHeight="14.5" x14ac:dyDescent="0.35"/>
  <cols>
    <col min="1" max="1" width="16.08984375" customWidth="1"/>
    <col min="2" max="2" width="14.26953125" customWidth="1"/>
    <col min="3" max="3" width="12.54296875" customWidth="1"/>
    <col min="7" max="7" width="12.26953125" customWidth="1"/>
    <col min="8" max="8" width="10.6328125" customWidth="1"/>
  </cols>
  <sheetData>
    <row r="1" spans="1:5" x14ac:dyDescent="0.35">
      <c r="A1" s="1" t="s">
        <v>0</v>
      </c>
      <c r="B1" s="1" t="s">
        <v>5</v>
      </c>
      <c r="C1" s="1" t="s">
        <v>1</v>
      </c>
    </row>
    <row r="2" spans="1:5" x14ac:dyDescent="0.35">
      <c r="A2" t="s">
        <v>2</v>
      </c>
      <c r="B2">
        <v>2021</v>
      </c>
      <c r="C2">
        <v>0.21945701357466063</v>
      </c>
      <c r="E2" t="str">
        <f>IF(M2="","",M2)</f>
        <v/>
      </c>
    </row>
    <row r="3" spans="1:5" x14ac:dyDescent="0.35">
      <c r="A3" t="s">
        <v>2</v>
      </c>
      <c r="B3">
        <v>2022</v>
      </c>
      <c r="C3">
        <v>0.23235613463626492</v>
      </c>
    </row>
    <row r="4" spans="1:5" x14ac:dyDescent="0.35">
      <c r="A4" t="s">
        <v>2</v>
      </c>
      <c r="B4">
        <v>2023</v>
      </c>
      <c r="C4">
        <v>0.23076923076923078</v>
      </c>
    </row>
    <row r="5" spans="1:5" x14ac:dyDescent="0.35">
      <c r="A5" t="s">
        <v>2</v>
      </c>
      <c r="B5">
        <v>2024</v>
      </c>
      <c r="C5">
        <v>0.22615219721329047</v>
      </c>
    </row>
    <row r="6" spans="1:5" x14ac:dyDescent="0.35">
      <c r="A6" t="s">
        <v>2</v>
      </c>
      <c r="B6">
        <v>2025</v>
      </c>
      <c r="C6">
        <v>0.20981387478849409</v>
      </c>
    </row>
    <row r="7" spans="1:5" x14ac:dyDescent="0.35">
      <c r="A7" t="s">
        <v>2</v>
      </c>
      <c r="B7">
        <v>2026</v>
      </c>
      <c r="C7">
        <v>0.2463891248937978</v>
      </c>
    </row>
    <row r="8" spans="1:5" x14ac:dyDescent="0.35">
      <c r="A8" t="s">
        <v>3</v>
      </c>
      <c r="B8">
        <v>2021</v>
      </c>
      <c r="C8">
        <v>0.22932448787484871</v>
      </c>
    </row>
    <row r="9" spans="1:5" x14ac:dyDescent="0.35">
      <c r="A9" t="s">
        <v>3</v>
      </c>
      <c r="B9">
        <v>2022</v>
      </c>
      <c r="C9">
        <v>0.23298123269408266</v>
      </c>
    </row>
    <row r="10" spans="1:5" x14ac:dyDescent="0.35">
      <c r="A10" t="s">
        <v>3</v>
      </c>
      <c r="B10">
        <v>2023</v>
      </c>
      <c r="C10">
        <v>0.2316967383761277</v>
      </c>
    </row>
    <row r="11" spans="1:5" x14ac:dyDescent="0.35">
      <c r="A11" t="s">
        <v>3</v>
      </c>
      <c r="B11">
        <v>2024</v>
      </c>
      <c r="C11">
        <v>0.23176247446746426</v>
      </c>
    </row>
    <row r="12" spans="1:5" x14ac:dyDescent="0.35">
      <c r="A12" t="s">
        <v>3</v>
      </c>
      <c r="B12">
        <v>2025</v>
      </c>
      <c r="C12">
        <v>0.23378653302237881</v>
      </c>
    </row>
    <row r="13" spans="1:5" x14ac:dyDescent="0.35">
      <c r="A13" t="s">
        <v>3</v>
      </c>
      <c r="B13">
        <v>2026</v>
      </c>
      <c r="C13">
        <v>0.23287883883987479</v>
      </c>
    </row>
    <row r="14" spans="1:5" x14ac:dyDescent="0.35">
      <c r="A14" t="s">
        <v>4</v>
      </c>
      <c r="B14">
        <v>2021</v>
      </c>
      <c r="C14">
        <v>0.22974854932301741</v>
      </c>
    </row>
    <row r="15" spans="1:5" x14ac:dyDescent="0.35">
      <c r="A15" t="s">
        <v>4</v>
      </c>
      <c r="B15">
        <v>2022</v>
      </c>
      <c r="C15">
        <v>0.23077868276927399</v>
      </c>
    </row>
    <row r="16" spans="1:5" x14ac:dyDescent="0.35">
      <c r="A16" t="s">
        <v>4</v>
      </c>
      <c r="B16">
        <v>2023</v>
      </c>
      <c r="C16">
        <v>0.23355576739752146</v>
      </c>
    </row>
    <row r="17" spans="1:9" x14ac:dyDescent="0.35">
      <c r="A17" t="s">
        <v>4</v>
      </c>
      <c r="B17">
        <v>2024</v>
      </c>
      <c r="C17">
        <v>0.23317913086966618</v>
      </c>
    </row>
    <row r="18" spans="1:9" x14ac:dyDescent="0.35">
      <c r="A18" t="s">
        <v>4</v>
      </c>
      <c r="B18">
        <v>2025</v>
      </c>
      <c r="C18">
        <v>0.23080864874097903</v>
      </c>
    </row>
    <row r="19" spans="1:9" x14ac:dyDescent="0.35">
      <c r="A19" t="s">
        <v>4</v>
      </c>
      <c r="B19">
        <v>2026</v>
      </c>
      <c r="C19">
        <v>0.23398435767405415</v>
      </c>
    </row>
    <row r="22" spans="1:9" x14ac:dyDescent="0.35">
      <c r="G22" s="1" t="s">
        <v>2</v>
      </c>
      <c r="H22" s="1" t="s">
        <v>3</v>
      </c>
      <c r="I22" s="1" t="s">
        <v>4</v>
      </c>
    </row>
    <row r="23" spans="1:9" x14ac:dyDescent="0.35">
      <c r="F23">
        <v>2021</v>
      </c>
      <c r="G23">
        <v>0.21945701357466063</v>
      </c>
      <c r="H23">
        <v>0.22932448787484871</v>
      </c>
      <c r="I23">
        <v>0.22974854932301741</v>
      </c>
    </row>
    <row r="24" spans="1:9" x14ac:dyDescent="0.35">
      <c r="F24">
        <v>2022</v>
      </c>
      <c r="G24">
        <v>0.23235613463626492</v>
      </c>
      <c r="H24">
        <v>0.23298123269408266</v>
      </c>
      <c r="I24">
        <v>0.23077868276927399</v>
      </c>
    </row>
    <row r="25" spans="1:9" x14ac:dyDescent="0.35">
      <c r="F25">
        <v>2023</v>
      </c>
      <c r="G25">
        <v>0.23076923076923078</v>
      </c>
      <c r="H25">
        <v>0.2316967383761277</v>
      </c>
      <c r="I25">
        <v>0.23355576739752146</v>
      </c>
    </row>
    <row r="26" spans="1:9" x14ac:dyDescent="0.35">
      <c r="F26">
        <v>2024</v>
      </c>
      <c r="G26">
        <v>0.22615219721329047</v>
      </c>
      <c r="H26">
        <v>0.23176247446746426</v>
      </c>
      <c r="I26">
        <v>0.23317913086966618</v>
      </c>
    </row>
    <row r="27" spans="1:9" x14ac:dyDescent="0.35">
      <c r="F27">
        <v>2025</v>
      </c>
      <c r="G27">
        <v>0.20981387478849409</v>
      </c>
      <c r="H27">
        <v>0.23378653302237881</v>
      </c>
      <c r="I27">
        <v>0.23080864874097903</v>
      </c>
    </row>
    <row r="28" spans="1:9" x14ac:dyDescent="0.35">
      <c r="F28">
        <v>2026</v>
      </c>
      <c r="G28">
        <v>0.2463891248937978</v>
      </c>
      <c r="H28">
        <v>0.23287883883987479</v>
      </c>
      <c r="I28">
        <v>0.23398435767405415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CB871-F076-49EA-82DB-BCCE63302337}">
  <dimension ref="A1:B3"/>
  <sheetViews>
    <sheetView workbookViewId="0">
      <selection activeCell="C1" sqref="C1"/>
    </sheetView>
  </sheetViews>
  <sheetFormatPr defaultRowHeight="14.5" x14ac:dyDescent="0.35"/>
  <cols>
    <col min="1" max="1" width="16.26953125" customWidth="1"/>
    <col min="2" max="2" width="12.1796875" customWidth="1"/>
  </cols>
  <sheetData>
    <row r="1" spans="1:2" ht="29" x14ac:dyDescent="0.35">
      <c r="A1" s="2" t="s">
        <v>24</v>
      </c>
      <c r="B1" s="2" t="s">
        <v>1</v>
      </c>
    </row>
    <row r="2" spans="1:2" x14ac:dyDescent="0.35">
      <c r="A2" t="s">
        <v>22</v>
      </c>
      <c r="B2">
        <v>0.23216011068401884</v>
      </c>
    </row>
    <row r="3" spans="1:2" x14ac:dyDescent="0.35">
      <c r="A3" t="s">
        <v>23</v>
      </c>
      <c r="B3">
        <v>0.23206089530168161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565E8-C0F9-4209-84DD-9B6A2A082375}">
  <dimension ref="A1:H29"/>
  <sheetViews>
    <sheetView workbookViewId="0">
      <selection activeCell="D1" sqref="D1"/>
    </sheetView>
  </sheetViews>
  <sheetFormatPr defaultRowHeight="14.5" x14ac:dyDescent="0.35"/>
  <cols>
    <col min="1" max="1" width="16.08984375" customWidth="1"/>
    <col min="2" max="2" width="9.7265625" customWidth="1"/>
    <col min="3" max="3" width="12.08984375" customWidth="1"/>
  </cols>
  <sheetData>
    <row r="1" spans="1:3" ht="29" x14ac:dyDescent="0.35">
      <c r="A1" s="2" t="s">
        <v>24</v>
      </c>
      <c r="B1" s="2" t="s">
        <v>5</v>
      </c>
      <c r="C1" s="2" t="s">
        <v>1</v>
      </c>
    </row>
    <row r="2" spans="1:3" x14ac:dyDescent="0.35">
      <c r="A2" t="s">
        <v>22</v>
      </c>
      <c r="B2">
        <v>2021</v>
      </c>
      <c r="C2">
        <v>0.22957477929269185</v>
      </c>
    </row>
    <row r="3" spans="1:3" x14ac:dyDescent="0.35">
      <c r="A3" t="s">
        <v>22</v>
      </c>
      <c r="B3">
        <v>2022</v>
      </c>
      <c r="C3">
        <v>0.23224040449921707</v>
      </c>
    </row>
    <row r="4" spans="1:3" x14ac:dyDescent="0.35">
      <c r="A4" t="s">
        <v>22</v>
      </c>
      <c r="B4">
        <v>2023</v>
      </c>
      <c r="C4">
        <v>0.23114876777311297</v>
      </c>
    </row>
    <row r="5" spans="1:3" x14ac:dyDescent="0.35">
      <c r="A5" t="s">
        <v>22</v>
      </c>
      <c r="B5">
        <v>2024</v>
      </c>
      <c r="C5">
        <v>0.23305989709736918</v>
      </c>
    </row>
    <row r="6" spans="1:3" x14ac:dyDescent="0.35">
      <c r="A6" t="s">
        <v>22</v>
      </c>
      <c r="B6">
        <v>2025</v>
      </c>
      <c r="C6">
        <v>0.23250536114396714</v>
      </c>
    </row>
    <row r="7" spans="1:3" x14ac:dyDescent="0.35">
      <c r="A7" t="s">
        <v>22</v>
      </c>
      <c r="B7">
        <v>2026</v>
      </c>
      <c r="C7">
        <v>0.23378127896200185</v>
      </c>
    </row>
    <row r="8" spans="1:3" x14ac:dyDescent="0.35">
      <c r="A8" t="s">
        <v>23</v>
      </c>
      <c r="B8">
        <v>2021</v>
      </c>
      <c r="C8">
        <v>0.22923307994114761</v>
      </c>
    </row>
    <row r="9" spans="1:3" x14ac:dyDescent="0.35">
      <c r="A9" t="s">
        <v>23</v>
      </c>
      <c r="B9">
        <v>2022</v>
      </c>
      <c r="C9">
        <v>0.23208809590186785</v>
      </c>
    </row>
    <row r="10" spans="1:3" x14ac:dyDescent="0.35">
      <c r="A10" t="s">
        <v>23</v>
      </c>
      <c r="B10">
        <v>2023</v>
      </c>
      <c r="C10">
        <v>0.23379212570517174</v>
      </c>
    </row>
    <row r="11" spans="1:3" x14ac:dyDescent="0.35">
      <c r="A11" t="s">
        <v>23</v>
      </c>
      <c r="B11">
        <v>2024</v>
      </c>
      <c r="C11">
        <v>0.23129647499574274</v>
      </c>
    </row>
    <row r="12" spans="1:3" x14ac:dyDescent="0.35">
      <c r="A12" t="s">
        <v>23</v>
      </c>
      <c r="B12">
        <v>2025</v>
      </c>
      <c r="C12">
        <v>0.23260603865827711</v>
      </c>
    </row>
    <row r="13" spans="1:3" x14ac:dyDescent="0.35">
      <c r="A13" t="s">
        <v>23</v>
      </c>
      <c r="B13">
        <v>2026</v>
      </c>
      <c r="C13">
        <v>0.23289161276740078</v>
      </c>
    </row>
    <row r="23" spans="6:8" x14ac:dyDescent="0.35">
      <c r="G23" s="1" t="s">
        <v>22</v>
      </c>
      <c r="H23" s="1" t="s">
        <v>23</v>
      </c>
    </row>
    <row r="24" spans="6:8" x14ac:dyDescent="0.35">
      <c r="F24">
        <v>2021</v>
      </c>
      <c r="G24">
        <v>0.22957477929269185</v>
      </c>
      <c r="H24">
        <v>0.22923307994114761</v>
      </c>
    </row>
    <row r="25" spans="6:8" x14ac:dyDescent="0.35">
      <c r="F25">
        <v>2022</v>
      </c>
      <c r="G25">
        <v>0.23224040449921707</v>
      </c>
      <c r="H25">
        <v>0.23208809590186785</v>
      </c>
    </row>
    <row r="26" spans="6:8" x14ac:dyDescent="0.35">
      <c r="F26">
        <v>2023</v>
      </c>
      <c r="G26">
        <v>0.23114876777311297</v>
      </c>
      <c r="H26">
        <v>0.23379212570517174</v>
      </c>
    </row>
    <row r="27" spans="6:8" x14ac:dyDescent="0.35">
      <c r="F27">
        <v>2024</v>
      </c>
      <c r="G27">
        <v>0.23305989709736918</v>
      </c>
      <c r="H27">
        <v>0.23129647499574274</v>
      </c>
    </row>
    <row r="28" spans="6:8" x14ac:dyDescent="0.35">
      <c r="F28">
        <v>2025</v>
      </c>
      <c r="G28">
        <v>0.23250536114396714</v>
      </c>
      <c r="H28">
        <v>0.23260603865827711</v>
      </c>
    </row>
    <row r="29" spans="6:8" x14ac:dyDescent="0.35">
      <c r="F29">
        <v>2026</v>
      </c>
      <c r="G29">
        <v>0.23378127896200185</v>
      </c>
      <c r="H29">
        <v>0.23289161276740078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7EB0A-48BE-46E2-B66A-79A539AF0B4D}">
  <dimension ref="A1:B5"/>
  <sheetViews>
    <sheetView workbookViewId="0">
      <selection activeCell="C1" sqref="C1"/>
    </sheetView>
  </sheetViews>
  <sheetFormatPr defaultRowHeight="14.5" x14ac:dyDescent="0.35"/>
  <cols>
    <col min="1" max="1" width="24.1796875" customWidth="1"/>
    <col min="2" max="2" width="12.453125" customWidth="1"/>
  </cols>
  <sheetData>
    <row r="1" spans="1:2" x14ac:dyDescent="0.35">
      <c r="A1" s="1" t="s">
        <v>21</v>
      </c>
      <c r="B1" s="1" t="s">
        <v>1</v>
      </c>
    </row>
    <row r="2" spans="1:2" x14ac:dyDescent="0.35">
      <c r="A2" t="s">
        <v>17</v>
      </c>
      <c r="B2">
        <v>0.22735200845665962</v>
      </c>
    </row>
    <row r="3" spans="1:2" x14ac:dyDescent="0.35">
      <c r="A3" t="s">
        <v>18</v>
      </c>
      <c r="B3">
        <v>0.23249585961450367</v>
      </c>
    </row>
    <row r="4" spans="1:2" x14ac:dyDescent="0.35">
      <c r="A4" t="s">
        <v>19</v>
      </c>
      <c r="B4">
        <v>0.23234779465525315</v>
      </c>
    </row>
    <row r="5" spans="1:2" x14ac:dyDescent="0.35">
      <c r="A5" t="s">
        <v>20</v>
      </c>
      <c r="B5">
        <v>0.23226402388122613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F0392-FF52-43D6-BFAC-34E32EA70045}">
  <dimension ref="A1:J29"/>
  <sheetViews>
    <sheetView workbookViewId="0">
      <selection activeCell="M24" sqref="M24"/>
    </sheetView>
  </sheetViews>
  <sheetFormatPr defaultRowHeight="14.5" x14ac:dyDescent="0.35"/>
  <cols>
    <col min="1" max="1" width="23" customWidth="1"/>
    <col min="2" max="2" width="13.81640625" customWidth="1"/>
    <col min="3" max="3" width="12" customWidth="1"/>
    <col min="9" max="9" width="24.1796875" customWidth="1"/>
    <col min="10" max="10" width="14.08984375" customWidth="1"/>
  </cols>
  <sheetData>
    <row r="1" spans="1:3" x14ac:dyDescent="0.35">
      <c r="A1" s="1" t="s">
        <v>21</v>
      </c>
      <c r="B1" s="1" t="s">
        <v>5</v>
      </c>
      <c r="C1" s="1" t="s">
        <v>1</v>
      </c>
    </row>
    <row r="2" spans="1:3" x14ac:dyDescent="0.35">
      <c r="A2" t="s">
        <v>17</v>
      </c>
      <c r="B2">
        <v>2021</v>
      </c>
      <c r="C2">
        <v>0.21820835613939063</v>
      </c>
    </row>
    <row r="3" spans="1:3" x14ac:dyDescent="0.35">
      <c r="A3" t="s">
        <v>17</v>
      </c>
      <c r="B3">
        <v>2022</v>
      </c>
      <c r="C3">
        <v>0.23148777173913043</v>
      </c>
    </row>
    <row r="4" spans="1:3" x14ac:dyDescent="0.35">
      <c r="A4" t="s">
        <v>17</v>
      </c>
      <c r="B4">
        <v>2023</v>
      </c>
      <c r="C4">
        <v>0.22967764540995095</v>
      </c>
    </row>
    <row r="5" spans="1:3" x14ac:dyDescent="0.35">
      <c r="A5" t="s">
        <v>17</v>
      </c>
      <c r="B5">
        <v>2024</v>
      </c>
      <c r="C5">
        <v>0.23466057441253263</v>
      </c>
    </row>
    <row r="6" spans="1:3" x14ac:dyDescent="0.35">
      <c r="A6" t="s">
        <v>17</v>
      </c>
      <c r="B6">
        <v>2025</v>
      </c>
      <c r="C6">
        <v>0.23089475115583355</v>
      </c>
    </row>
    <row r="7" spans="1:3" x14ac:dyDescent="0.35">
      <c r="A7" t="s">
        <v>17</v>
      </c>
      <c r="B7">
        <v>2026</v>
      </c>
      <c r="C7">
        <v>0.21933800302156298</v>
      </c>
    </row>
    <row r="8" spans="1:3" x14ac:dyDescent="0.35">
      <c r="A8" t="s">
        <v>18</v>
      </c>
      <c r="B8">
        <v>2021</v>
      </c>
      <c r="C8">
        <v>0.22877187323602935</v>
      </c>
    </row>
    <row r="9" spans="1:3" x14ac:dyDescent="0.35">
      <c r="A9" t="s">
        <v>18</v>
      </c>
      <c r="B9">
        <v>2022</v>
      </c>
      <c r="C9">
        <v>0.2303499079189687</v>
      </c>
    </row>
    <row r="10" spans="1:3" x14ac:dyDescent="0.35">
      <c r="A10" t="s">
        <v>18</v>
      </c>
      <c r="B10">
        <v>2023</v>
      </c>
      <c r="C10">
        <v>0.23432472730126344</v>
      </c>
    </row>
    <row r="11" spans="1:3" x14ac:dyDescent="0.35">
      <c r="A11" t="s">
        <v>18</v>
      </c>
      <c r="B11">
        <v>2024</v>
      </c>
      <c r="C11">
        <v>0.23531590252573883</v>
      </c>
    </row>
    <row r="12" spans="1:3" x14ac:dyDescent="0.35">
      <c r="A12" t="s">
        <v>18</v>
      </c>
      <c r="B12">
        <v>2025</v>
      </c>
      <c r="C12">
        <v>0.23409241122393798</v>
      </c>
    </row>
    <row r="13" spans="1:3" x14ac:dyDescent="0.35">
      <c r="A13" t="s">
        <v>18</v>
      </c>
      <c r="B13">
        <v>2026</v>
      </c>
      <c r="C13">
        <v>0.23171930686985376</v>
      </c>
    </row>
    <row r="14" spans="1:3" x14ac:dyDescent="0.35">
      <c r="A14" t="s">
        <v>19</v>
      </c>
      <c r="B14">
        <v>2021</v>
      </c>
      <c r="C14">
        <v>0.23351742199954453</v>
      </c>
    </row>
    <row r="15" spans="1:3" x14ac:dyDescent="0.35">
      <c r="A15" t="s">
        <v>19</v>
      </c>
      <c r="B15">
        <v>2022</v>
      </c>
      <c r="C15">
        <v>0.23401465483995373</v>
      </c>
    </row>
    <row r="16" spans="1:3" x14ac:dyDescent="0.35">
      <c r="A16" t="s">
        <v>19</v>
      </c>
      <c r="B16">
        <v>2023</v>
      </c>
      <c r="C16">
        <v>0.23153204553481674</v>
      </c>
    </row>
    <row r="17" spans="1:10" x14ac:dyDescent="0.35">
      <c r="A17" t="s">
        <v>19</v>
      </c>
      <c r="B17">
        <v>2024</v>
      </c>
      <c r="C17">
        <v>0.23128754243927918</v>
      </c>
    </row>
    <row r="18" spans="1:10" x14ac:dyDescent="0.35">
      <c r="A18" t="s">
        <v>19</v>
      </c>
      <c r="B18">
        <v>2025</v>
      </c>
      <c r="C18">
        <v>0.23136545934376493</v>
      </c>
    </row>
    <row r="19" spans="1:10" x14ac:dyDescent="0.35">
      <c r="A19" t="s">
        <v>19</v>
      </c>
      <c r="B19">
        <v>2026</v>
      </c>
      <c r="C19">
        <v>0.23260695505399148</v>
      </c>
    </row>
    <row r="20" spans="1:10" x14ac:dyDescent="0.35">
      <c r="A20" t="s">
        <v>20</v>
      </c>
      <c r="B20">
        <v>2021</v>
      </c>
      <c r="C20">
        <v>0.2285778628532823</v>
      </c>
    </row>
    <row r="21" spans="1:10" x14ac:dyDescent="0.35">
      <c r="A21" t="s">
        <v>20</v>
      </c>
      <c r="B21">
        <v>2022</v>
      </c>
      <c r="C21">
        <v>0.23172679589039685</v>
      </c>
    </row>
    <row r="22" spans="1:10" x14ac:dyDescent="0.35">
      <c r="A22" t="s">
        <v>20</v>
      </c>
      <c r="B22">
        <v>2023</v>
      </c>
      <c r="C22">
        <v>0.2326034809468</v>
      </c>
    </row>
    <row r="23" spans="1:10" x14ac:dyDescent="0.35">
      <c r="A23" t="s">
        <v>20</v>
      </c>
      <c r="B23">
        <v>2024</v>
      </c>
      <c r="C23">
        <v>0.23204187158398012</v>
      </c>
      <c r="G23" s="1" t="s">
        <v>17</v>
      </c>
      <c r="H23" s="1" t="s">
        <v>18</v>
      </c>
      <c r="I23" s="1" t="s">
        <v>19</v>
      </c>
      <c r="J23" s="1" t="s">
        <v>20</v>
      </c>
    </row>
    <row r="24" spans="1:10" x14ac:dyDescent="0.35">
      <c r="A24" t="s">
        <v>20</v>
      </c>
      <c r="B24">
        <v>2025</v>
      </c>
      <c r="C24">
        <v>0.23291442449244384</v>
      </c>
      <c r="F24">
        <v>2021</v>
      </c>
      <c r="G24">
        <v>0.21820835613939063</v>
      </c>
      <c r="H24">
        <v>0.22877187323602935</v>
      </c>
      <c r="I24">
        <v>0.23351742199954453</v>
      </c>
      <c r="J24">
        <v>0.2285778628532823</v>
      </c>
    </row>
    <row r="25" spans="1:10" x14ac:dyDescent="0.35">
      <c r="A25" t="s">
        <v>20</v>
      </c>
      <c r="B25">
        <v>2026</v>
      </c>
      <c r="C25">
        <v>0.23479795827862365</v>
      </c>
      <c r="F25">
        <v>2022</v>
      </c>
      <c r="G25">
        <v>0.23148777173913043</v>
      </c>
      <c r="H25">
        <v>0.2303499079189687</v>
      </c>
      <c r="I25">
        <v>0.23401465483995373</v>
      </c>
      <c r="J25">
        <v>0.23172679589039685</v>
      </c>
    </row>
    <row r="26" spans="1:10" x14ac:dyDescent="0.35">
      <c r="F26">
        <v>2023</v>
      </c>
      <c r="G26">
        <v>0.22967764540995095</v>
      </c>
      <c r="H26">
        <v>0.23432472730126344</v>
      </c>
      <c r="I26">
        <v>0.23153204553481674</v>
      </c>
      <c r="J26">
        <v>0.2326034809468</v>
      </c>
    </row>
    <row r="27" spans="1:10" x14ac:dyDescent="0.35">
      <c r="F27">
        <v>2024</v>
      </c>
      <c r="G27">
        <v>0.23466057441253263</v>
      </c>
      <c r="H27">
        <v>0.23531590252573883</v>
      </c>
      <c r="I27">
        <v>0.23128754243927918</v>
      </c>
      <c r="J27">
        <v>0.23204187158398012</v>
      </c>
    </row>
    <row r="28" spans="1:10" x14ac:dyDescent="0.35">
      <c r="F28">
        <v>2025</v>
      </c>
      <c r="G28">
        <v>0.23089475115583355</v>
      </c>
      <c r="H28">
        <v>0.23409241122393798</v>
      </c>
      <c r="I28">
        <v>0.23136545934376493</v>
      </c>
      <c r="J28">
        <v>0.23291442449244384</v>
      </c>
    </row>
    <row r="29" spans="1:10" x14ac:dyDescent="0.35">
      <c r="F29">
        <v>2026</v>
      </c>
      <c r="G29">
        <v>0.21933800302156298</v>
      </c>
      <c r="H29">
        <v>0.23171930686985376</v>
      </c>
      <c r="I29">
        <v>0.23260695505399148</v>
      </c>
      <c r="J29">
        <v>0.23479795827862365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36C90-5952-4991-AC9C-1C387033EE99}">
  <dimension ref="A1:B11"/>
  <sheetViews>
    <sheetView workbookViewId="0">
      <selection activeCell="B17" sqref="B17"/>
    </sheetView>
  </sheetViews>
  <sheetFormatPr defaultRowHeight="14.5" x14ac:dyDescent="0.35"/>
  <cols>
    <col min="1" max="1" width="39.1796875" customWidth="1"/>
    <col min="2" max="2" width="12.36328125" customWidth="1"/>
  </cols>
  <sheetData>
    <row r="1" spans="1:2" x14ac:dyDescent="0.35">
      <c r="A1" s="1" t="s">
        <v>16</v>
      </c>
      <c r="B1" s="1" t="s">
        <v>1</v>
      </c>
    </row>
    <row r="2" spans="1:2" x14ac:dyDescent="0.35">
      <c r="A2" t="s">
        <v>6</v>
      </c>
      <c r="B2">
        <v>0.23062472520884128</v>
      </c>
    </row>
    <row r="3" spans="1:2" x14ac:dyDescent="0.35">
      <c r="A3" t="s">
        <v>7</v>
      </c>
      <c r="B3">
        <v>0.23355693004617126</v>
      </c>
    </row>
    <row r="4" spans="1:2" x14ac:dyDescent="0.35">
      <c r="A4" t="s">
        <v>8</v>
      </c>
      <c r="B4">
        <v>0.23322603719599427</v>
      </c>
    </row>
    <row r="5" spans="1:2" x14ac:dyDescent="0.35">
      <c r="A5" t="s">
        <v>9</v>
      </c>
      <c r="B5">
        <v>0.23165676914159475</v>
      </c>
    </row>
    <row r="6" spans="1:2" x14ac:dyDescent="0.35">
      <c r="A6" t="s">
        <v>10</v>
      </c>
      <c r="B6">
        <v>0.23268483659836034</v>
      </c>
    </row>
    <row r="7" spans="1:2" x14ac:dyDescent="0.35">
      <c r="A7" t="s">
        <v>11</v>
      </c>
      <c r="B7">
        <v>0.23173096087988548</v>
      </c>
    </row>
    <row r="8" spans="1:2" x14ac:dyDescent="0.35">
      <c r="A8" t="s">
        <v>12</v>
      </c>
      <c r="B8">
        <v>0.23126565636825555</v>
      </c>
    </row>
    <row r="9" spans="1:2" x14ac:dyDescent="0.35">
      <c r="A9" t="s">
        <v>13</v>
      </c>
      <c r="B9">
        <v>0.23505065978661077</v>
      </c>
    </row>
    <row r="10" spans="1:2" x14ac:dyDescent="0.35">
      <c r="A10" t="s">
        <v>14</v>
      </c>
      <c r="B10">
        <v>0.22710799025992412</v>
      </c>
    </row>
    <row r="11" spans="1:2" x14ac:dyDescent="0.35">
      <c r="A11" t="s">
        <v>15</v>
      </c>
      <c r="B11">
        <v>0.23373721680774559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B1369-B88E-4A18-92A7-7E8A833F6F3D}">
  <dimension ref="A1:P61"/>
  <sheetViews>
    <sheetView zoomScaleNormal="100" workbookViewId="0">
      <selection activeCell="J29" sqref="J29"/>
    </sheetView>
  </sheetViews>
  <sheetFormatPr defaultRowHeight="14.5" x14ac:dyDescent="0.35"/>
  <cols>
    <col min="1" max="1" width="39.36328125" customWidth="1"/>
    <col min="2" max="2" width="13.90625" customWidth="1"/>
    <col min="3" max="3" width="12.1796875" customWidth="1"/>
    <col min="7" max="7" width="8.7265625" customWidth="1"/>
    <col min="10" max="10" width="8.7265625" customWidth="1"/>
  </cols>
  <sheetData>
    <row r="1" spans="1:3" x14ac:dyDescent="0.35">
      <c r="A1" s="1" t="s">
        <v>16</v>
      </c>
      <c r="B1" s="1" t="s">
        <v>5</v>
      </c>
      <c r="C1" s="1" t="s">
        <v>1</v>
      </c>
    </row>
    <row r="2" spans="1:3" x14ac:dyDescent="0.35">
      <c r="A2" t="s">
        <v>6</v>
      </c>
      <c r="B2">
        <v>2021</v>
      </c>
      <c r="C2">
        <v>0.22518050541516246</v>
      </c>
    </row>
    <row r="3" spans="1:3" x14ac:dyDescent="0.35">
      <c r="A3" t="s">
        <v>6</v>
      </c>
      <c r="B3">
        <v>2022</v>
      </c>
      <c r="C3">
        <v>0.23525012464683398</v>
      </c>
    </row>
    <row r="4" spans="1:3" x14ac:dyDescent="0.35">
      <c r="A4" t="s">
        <v>6</v>
      </c>
      <c r="B4">
        <v>2023</v>
      </c>
      <c r="C4">
        <v>0.2239657631954351</v>
      </c>
    </row>
    <row r="5" spans="1:3" x14ac:dyDescent="0.35">
      <c r="A5" t="s">
        <v>6</v>
      </c>
      <c r="B5">
        <v>2024</v>
      </c>
      <c r="C5">
        <v>0.22885699641209636</v>
      </c>
    </row>
    <row r="6" spans="1:3" x14ac:dyDescent="0.35">
      <c r="A6" t="s">
        <v>6</v>
      </c>
      <c r="B6">
        <v>2025</v>
      </c>
      <c r="C6">
        <v>0.23398534650803254</v>
      </c>
    </row>
    <row r="7" spans="1:3" x14ac:dyDescent="0.35">
      <c r="A7" t="s">
        <v>6</v>
      </c>
      <c r="B7">
        <v>2026</v>
      </c>
      <c r="C7">
        <v>0.23416289592760181</v>
      </c>
    </row>
    <row r="8" spans="1:3" x14ac:dyDescent="0.35">
      <c r="A8" t="s">
        <v>7</v>
      </c>
      <c r="B8">
        <v>2021</v>
      </c>
      <c r="C8">
        <v>0.23454106280193238</v>
      </c>
    </row>
    <row r="9" spans="1:3" x14ac:dyDescent="0.35">
      <c r="A9" t="s">
        <v>7</v>
      </c>
      <c r="B9">
        <v>2022</v>
      </c>
      <c r="C9">
        <v>0.23183504254854898</v>
      </c>
    </row>
    <row r="10" spans="1:3" x14ac:dyDescent="0.35">
      <c r="A10" t="s">
        <v>7</v>
      </c>
      <c r="B10">
        <v>2023</v>
      </c>
      <c r="C10">
        <v>0.23280240073868882</v>
      </c>
    </row>
    <row r="11" spans="1:3" x14ac:dyDescent="0.35">
      <c r="A11" t="s">
        <v>7</v>
      </c>
      <c r="B11">
        <v>2024</v>
      </c>
      <c r="C11">
        <v>0.23361196656401231</v>
      </c>
    </row>
    <row r="12" spans="1:3" x14ac:dyDescent="0.35">
      <c r="A12" t="s">
        <v>7</v>
      </c>
      <c r="B12">
        <v>2025</v>
      </c>
      <c r="C12">
        <v>0.23509021420318194</v>
      </c>
    </row>
    <row r="13" spans="1:3" x14ac:dyDescent="0.35">
      <c r="A13" t="s">
        <v>7</v>
      </c>
      <c r="B13">
        <v>2026</v>
      </c>
      <c r="C13">
        <v>0.23322975690001826</v>
      </c>
    </row>
    <row r="14" spans="1:3" x14ac:dyDescent="0.35">
      <c r="A14" t="s">
        <v>8</v>
      </c>
      <c r="B14">
        <v>2021</v>
      </c>
      <c r="C14">
        <v>0.23285619174434088</v>
      </c>
    </row>
    <row r="15" spans="1:3" x14ac:dyDescent="0.35">
      <c r="A15" t="s">
        <v>8</v>
      </c>
      <c r="B15">
        <v>2022</v>
      </c>
      <c r="C15">
        <v>0.2302270366523223</v>
      </c>
    </row>
    <row r="16" spans="1:3" x14ac:dyDescent="0.35">
      <c r="A16" t="s">
        <v>8</v>
      </c>
      <c r="B16">
        <v>2023</v>
      </c>
      <c r="C16">
        <v>0.23109111005842412</v>
      </c>
    </row>
    <row r="17" spans="1:16" x14ac:dyDescent="0.35">
      <c r="A17" t="s">
        <v>8</v>
      </c>
      <c r="B17">
        <v>2024</v>
      </c>
      <c r="C17">
        <v>0.23313949097500189</v>
      </c>
    </row>
    <row r="18" spans="1:16" x14ac:dyDescent="0.35">
      <c r="A18" t="s">
        <v>8</v>
      </c>
      <c r="B18">
        <v>2025</v>
      </c>
      <c r="C18">
        <v>0.23075526506899055</v>
      </c>
    </row>
    <row r="19" spans="1:16" x14ac:dyDescent="0.35">
      <c r="A19" t="s">
        <v>8</v>
      </c>
      <c r="B19">
        <v>2026</v>
      </c>
      <c r="C19">
        <v>0.24036352240676903</v>
      </c>
    </row>
    <row r="20" spans="1:16" x14ac:dyDescent="0.35">
      <c r="A20" t="s">
        <v>9</v>
      </c>
      <c r="B20">
        <v>2021</v>
      </c>
      <c r="C20">
        <v>0.23270582898616465</v>
      </c>
    </row>
    <row r="21" spans="1:16" x14ac:dyDescent="0.35">
      <c r="A21" t="s">
        <v>9</v>
      </c>
      <c r="B21">
        <v>2022</v>
      </c>
      <c r="C21">
        <v>0.2314112291350531</v>
      </c>
    </row>
    <row r="22" spans="1:16" x14ac:dyDescent="0.35">
      <c r="A22" t="s">
        <v>9</v>
      </c>
      <c r="B22">
        <v>2023</v>
      </c>
      <c r="C22">
        <v>0.23394892511903045</v>
      </c>
    </row>
    <row r="23" spans="1:16" x14ac:dyDescent="0.35">
      <c r="A23" t="s">
        <v>9</v>
      </c>
      <c r="B23">
        <v>2024</v>
      </c>
      <c r="C23">
        <v>0.22816706938211945</v>
      </c>
    </row>
    <row r="24" spans="1:16" x14ac:dyDescent="0.35">
      <c r="A24" t="s">
        <v>9</v>
      </c>
      <c r="B24">
        <v>2025</v>
      </c>
      <c r="C24">
        <v>0.22928300201027474</v>
      </c>
    </row>
    <row r="25" spans="1:16" x14ac:dyDescent="0.35">
      <c r="A25" t="s">
        <v>9</v>
      </c>
      <c r="B25">
        <v>2026</v>
      </c>
      <c r="C25">
        <v>0.23457638769548031</v>
      </c>
    </row>
    <row r="26" spans="1:16" x14ac:dyDescent="0.35">
      <c r="A26" t="s">
        <v>10</v>
      </c>
      <c r="B26">
        <v>2021</v>
      </c>
      <c r="C26">
        <v>0.23207053878095044</v>
      </c>
    </row>
    <row r="27" spans="1:16" x14ac:dyDescent="0.35">
      <c r="A27" t="s">
        <v>10</v>
      </c>
      <c r="B27">
        <v>2022</v>
      </c>
      <c r="C27">
        <v>0.23525254428948361</v>
      </c>
    </row>
    <row r="28" spans="1:16" x14ac:dyDescent="0.35">
      <c r="A28" t="s">
        <v>10</v>
      </c>
      <c r="B28">
        <v>2023</v>
      </c>
      <c r="C28">
        <v>0.23482651734826518</v>
      </c>
    </row>
    <row r="29" spans="1:16" x14ac:dyDescent="0.35">
      <c r="A29" t="s">
        <v>10</v>
      </c>
      <c r="B29">
        <v>2024</v>
      </c>
      <c r="C29">
        <v>0.2326835138387485</v>
      </c>
      <c r="F29" s="1"/>
      <c r="G29" s="1" t="s">
        <v>6</v>
      </c>
      <c r="H29" s="1" t="s">
        <v>7</v>
      </c>
      <c r="I29" s="1" t="s">
        <v>8</v>
      </c>
      <c r="J29" s="1" t="s">
        <v>9</v>
      </c>
      <c r="K29" s="1" t="s">
        <v>10</v>
      </c>
      <c r="L29" s="1" t="s">
        <v>11</v>
      </c>
      <c r="M29" s="1" t="s">
        <v>12</v>
      </c>
      <c r="N29" s="1" t="s">
        <v>13</v>
      </c>
      <c r="O29" s="1" t="s">
        <v>14</v>
      </c>
      <c r="P29" s="1" t="s">
        <v>15</v>
      </c>
    </row>
    <row r="30" spans="1:16" x14ac:dyDescent="0.35">
      <c r="A30" t="s">
        <v>10</v>
      </c>
      <c r="B30">
        <v>2025</v>
      </c>
      <c r="C30">
        <v>0.23219556497388935</v>
      </c>
      <c r="F30">
        <v>2021</v>
      </c>
      <c r="G30">
        <v>0.22518050541516246</v>
      </c>
      <c r="H30">
        <v>0.23454106280193238</v>
      </c>
      <c r="I30">
        <v>0.23285619174434088</v>
      </c>
      <c r="J30">
        <v>0.23270582898616465</v>
      </c>
      <c r="K30">
        <v>0.23207053878095044</v>
      </c>
      <c r="L30">
        <v>0.22962133930236897</v>
      </c>
      <c r="M30">
        <v>0.22641737762449327</v>
      </c>
      <c r="N30">
        <v>0.2375549048316252</v>
      </c>
      <c r="O30">
        <v>0.22243902439024391</v>
      </c>
      <c r="P30">
        <v>0.22692393238434164</v>
      </c>
    </row>
    <row r="31" spans="1:16" x14ac:dyDescent="0.35">
      <c r="A31" t="s">
        <v>10</v>
      </c>
      <c r="B31">
        <v>2026</v>
      </c>
      <c r="C31">
        <v>0.22980551246867917</v>
      </c>
      <c r="F31">
        <v>2022</v>
      </c>
      <c r="G31">
        <v>0.23525012464683398</v>
      </c>
      <c r="H31">
        <v>0.23183504254854898</v>
      </c>
      <c r="I31">
        <v>0.2302270366523223</v>
      </c>
      <c r="J31">
        <v>0.2314112291350531</v>
      </c>
      <c r="K31">
        <v>0.23525254428948361</v>
      </c>
      <c r="L31">
        <v>0.22894390759906227</v>
      </c>
      <c r="M31">
        <v>0.23225194566096682</v>
      </c>
      <c r="N31">
        <v>0.23634840871021776</v>
      </c>
      <c r="O31">
        <v>0.22403114493010087</v>
      </c>
      <c r="P31">
        <v>0.23278443113772454</v>
      </c>
    </row>
    <row r="32" spans="1:16" x14ac:dyDescent="0.35">
      <c r="A32" t="s">
        <v>11</v>
      </c>
      <c r="B32">
        <v>2021</v>
      </c>
      <c r="C32">
        <v>0.22962133930236897</v>
      </c>
      <c r="F32">
        <v>2023</v>
      </c>
      <c r="G32">
        <v>0.2239657631954351</v>
      </c>
      <c r="H32">
        <v>0.23280240073868882</v>
      </c>
      <c r="I32">
        <v>0.23109111005842412</v>
      </c>
      <c r="J32">
        <v>0.23394892511903045</v>
      </c>
      <c r="K32">
        <v>0.23482651734826518</v>
      </c>
      <c r="L32">
        <v>0.22941459310013224</v>
      </c>
      <c r="M32">
        <v>0.23153463451970915</v>
      </c>
      <c r="N32">
        <v>0.23836363636363636</v>
      </c>
      <c r="O32">
        <v>0.2331712789827973</v>
      </c>
      <c r="P32">
        <v>0.2364365971107544</v>
      </c>
    </row>
    <row r="33" spans="1:16" x14ac:dyDescent="0.35">
      <c r="A33" t="s">
        <v>11</v>
      </c>
      <c r="B33">
        <v>2022</v>
      </c>
      <c r="C33">
        <v>0.22894390759906227</v>
      </c>
      <c r="F33">
        <v>2024</v>
      </c>
      <c r="G33">
        <v>0.22885699641209636</v>
      </c>
      <c r="H33">
        <v>0.23361196656401231</v>
      </c>
      <c r="I33">
        <v>0.23313949097500189</v>
      </c>
      <c r="J33">
        <v>0.22816706938211945</v>
      </c>
      <c r="K33">
        <v>0.2326835138387485</v>
      </c>
      <c r="L33">
        <v>0.23814438901313148</v>
      </c>
      <c r="M33">
        <v>0.233126926230667</v>
      </c>
      <c r="N33">
        <v>0.22514265951928064</v>
      </c>
      <c r="O33">
        <v>0.22797456857402362</v>
      </c>
      <c r="P33">
        <v>0.2320484524970487</v>
      </c>
    </row>
    <row r="34" spans="1:16" x14ac:dyDescent="0.35">
      <c r="A34" t="s">
        <v>11</v>
      </c>
      <c r="B34">
        <v>2023</v>
      </c>
      <c r="C34">
        <v>0.22941459310013224</v>
      </c>
      <c r="F34">
        <v>2025</v>
      </c>
      <c r="G34">
        <v>0.23398534650803254</v>
      </c>
      <c r="H34">
        <v>0.23509021420318194</v>
      </c>
      <c r="I34">
        <v>0.23075526506899055</v>
      </c>
      <c r="J34">
        <v>0.22928300201027474</v>
      </c>
      <c r="K34">
        <v>0.23219556497388935</v>
      </c>
      <c r="L34">
        <v>0.23258489003404803</v>
      </c>
      <c r="M34">
        <v>0.23059391641844931</v>
      </c>
      <c r="N34">
        <v>0.23856696973809199</v>
      </c>
      <c r="O34">
        <v>0.23063707945597708</v>
      </c>
      <c r="P34">
        <v>0.2366702720025638</v>
      </c>
    </row>
    <row r="35" spans="1:16" x14ac:dyDescent="0.35">
      <c r="A35" t="s">
        <v>11</v>
      </c>
      <c r="B35">
        <v>2024</v>
      </c>
      <c r="C35">
        <v>0.23814438901313148</v>
      </c>
      <c r="F35">
        <v>2026</v>
      </c>
      <c r="G35">
        <v>0.23416289592760181</v>
      </c>
      <c r="H35">
        <v>0.23322975690001826</v>
      </c>
      <c r="I35">
        <v>0.24036352240676903</v>
      </c>
      <c r="J35">
        <v>0.23457638769548031</v>
      </c>
      <c r="K35">
        <v>0.22980551246867917</v>
      </c>
      <c r="L35">
        <v>0.23129316503929506</v>
      </c>
      <c r="M35">
        <v>0.23313690042964808</v>
      </c>
      <c r="N35">
        <v>0.23389021479713604</v>
      </c>
      <c r="O35">
        <v>0.22404534606205251</v>
      </c>
      <c r="P35">
        <v>0.23588208004723546</v>
      </c>
    </row>
    <row r="36" spans="1:16" x14ac:dyDescent="0.35">
      <c r="A36" t="s">
        <v>11</v>
      </c>
      <c r="B36">
        <v>2025</v>
      </c>
      <c r="C36">
        <v>0.23258489003404803</v>
      </c>
    </row>
    <row r="37" spans="1:16" x14ac:dyDescent="0.35">
      <c r="A37" t="s">
        <v>11</v>
      </c>
      <c r="B37">
        <v>2026</v>
      </c>
      <c r="C37">
        <v>0.23129316503929506</v>
      </c>
    </row>
    <row r="38" spans="1:16" x14ac:dyDescent="0.35">
      <c r="A38" t="s">
        <v>12</v>
      </c>
      <c r="B38">
        <v>2021</v>
      </c>
      <c r="C38">
        <v>0.22641737762449327</v>
      </c>
    </row>
    <row r="39" spans="1:16" x14ac:dyDescent="0.35">
      <c r="A39" t="s">
        <v>12</v>
      </c>
      <c r="B39">
        <v>2022</v>
      </c>
      <c r="C39">
        <v>0.23225194566096682</v>
      </c>
    </row>
    <row r="40" spans="1:16" x14ac:dyDescent="0.35">
      <c r="A40" t="s">
        <v>12</v>
      </c>
      <c r="B40">
        <v>2023</v>
      </c>
      <c r="C40">
        <v>0.23153463451970915</v>
      </c>
    </row>
    <row r="41" spans="1:16" x14ac:dyDescent="0.35">
      <c r="A41" t="s">
        <v>12</v>
      </c>
      <c r="B41">
        <v>2024</v>
      </c>
      <c r="C41">
        <v>0.233126926230667</v>
      </c>
    </row>
    <row r="42" spans="1:16" x14ac:dyDescent="0.35">
      <c r="A42" t="s">
        <v>12</v>
      </c>
      <c r="B42">
        <v>2025</v>
      </c>
      <c r="C42">
        <v>0.23059391641844931</v>
      </c>
    </row>
    <row r="43" spans="1:16" x14ac:dyDescent="0.35">
      <c r="A43" t="s">
        <v>12</v>
      </c>
      <c r="B43">
        <v>2026</v>
      </c>
      <c r="C43">
        <v>0.23313690042964808</v>
      </c>
    </row>
    <row r="44" spans="1:16" x14ac:dyDescent="0.35">
      <c r="A44" t="s">
        <v>13</v>
      </c>
      <c r="B44">
        <v>2021</v>
      </c>
      <c r="C44">
        <v>0.2375549048316252</v>
      </c>
    </row>
    <row r="45" spans="1:16" x14ac:dyDescent="0.35">
      <c r="A45" t="s">
        <v>13</v>
      </c>
      <c r="B45">
        <v>2022</v>
      </c>
      <c r="C45">
        <v>0.23634840871021776</v>
      </c>
    </row>
    <row r="46" spans="1:16" x14ac:dyDescent="0.35">
      <c r="A46" t="s">
        <v>13</v>
      </c>
      <c r="B46">
        <v>2023</v>
      </c>
      <c r="C46">
        <v>0.23836363636363636</v>
      </c>
    </row>
    <row r="47" spans="1:16" x14ac:dyDescent="0.35">
      <c r="A47" t="s">
        <v>13</v>
      </c>
      <c r="B47">
        <v>2024</v>
      </c>
      <c r="C47">
        <v>0.22514265951928064</v>
      </c>
    </row>
    <row r="48" spans="1:16" x14ac:dyDescent="0.35">
      <c r="A48" t="s">
        <v>13</v>
      </c>
      <c r="B48">
        <v>2025</v>
      </c>
      <c r="C48">
        <v>0.23856696973809199</v>
      </c>
    </row>
    <row r="49" spans="1:3" x14ac:dyDescent="0.35">
      <c r="A49" t="s">
        <v>13</v>
      </c>
      <c r="B49">
        <v>2026</v>
      </c>
      <c r="C49">
        <v>0.23389021479713604</v>
      </c>
    </row>
    <row r="50" spans="1:3" x14ac:dyDescent="0.35">
      <c r="A50" t="s">
        <v>14</v>
      </c>
      <c r="B50">
        <v>2021</v>
      </c>
      <c r="C50">
        <v>0.22243902439024391</v>
      </c>
    </row>
    <row r="51" spans="1:3" x14ac:dyDescent="0.35">
      <c r="A51" t="s">
        <v>14</v>
      </c>
      <c r="B51">
        <v>2022</v>
      </c>
      <c r="C51">
        <v>0.22403114493010087</v>
      </c>
    </row>
    <row r="52" spans="1:3" x14ac:dyDescent="0.35">
      <c r="A52" t="s">
        <v>14</v>
      </c>
      <c r="B52">
        <v>2023</v>
      </c>
      <c r="C52">
        <v>0.2331712789827973</v>
      </c>
    </row>
    <row r="53" spans="1:3" x14ac:dyDescent="0.35">
      <c r="A53" t="s">
        <v>14</v>
      </c>
      <c r="B53">
        <v>2024</v>
      </c>
      <c r="C53">
        <v>0.22797456857402362</v>
      </c>
    </row>
    <row r="54" spans="1:3" x14ac:dyDescent="0.35">
      <c r="A54" t="s">
        <v>14</v>
      </c>
      <c r="B54">
        <v>2025</v>
      </c>
      <c r="C54">
        <v>0.23063707945597708</v>
      </c>
    </row>
    <row r="55" spans="1:3" x14ac:dyDescent="0.35">
      <c r="A55" t="s">
        <v>14</v>
      </c>
      <c r="B55">
        <v>2026</v>
      </c>
      <c r="C55">
        <v>0.22404534606205251</v>
      </c>
    </row>
    <row r="56" spans="1:3" x14ac:dyDescent="0.35">
      <c r="A56" t="s">
        <v>15</v>
      </c>
      <c r="B56">
        <v>2021</v>
      </c>
      <c r="C56">
        <v>0.22692393238434164</v>
      </c>
    </row>
    <row r="57" spans="1:3" x14ac:dyDescent="0.35">
      <c r="A57" t="s">
        <v>15</v>
      </c>
      <c r="B57">
        <v>2022</v>
      </c>
      <c r="C57">
        <v>0.23278443113772454</v>
      </c>
    </row>
    <row r="58" spans="1:3" x14ac:dyDescent="0.35">
      <c r="A58" t="s">
        <v>15</v>
      </c>
      <c r="B58">
        <v>2023</v>
      </c>
      <c r="C58">
        <v>0.2364365971107544</v>
      </c>
    </row>
    <row r="59" spans="1:3" x14ac:dyDescent="0.35">
      <c r="A59" t="s">
        <v>15</v>
      </c>
      <c r="B59">
        <v>2024</v>
      </c>
      <c r="C59">
        <v>0.2320484524970487</v>
      </c>
    </row>
    <row r="60" spans="1:3" x14ac:dyDescent="0.35">
      <c r="A60" t="s">
        <v>15</v>
      </c>
      <c r="B60">
        <v>2025</v>
      </c>
      <c r="C60">
        <v>0.2366702720025638</v>
      </c>
    </row>
    <row r="61" spans="1:3" x14ac:dyDescent="0.35">
      <c r="A61" t="s">
        <v>15</v>
      </c>
      <c r="B61">
        <v>2026</v>
      </c>
      <c r="C61">
        <v>0.23588208004723546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D10DB-0EC4-4125-B177-33B074A1E645}">
  <dimension ref="A1:B12"/>
  <sheetViews>
    <sheetView workbookViewId="0">
      <selection activeCell="R2" sqref="R2"/>
    </sheetView>
  </sheetViews>
  <sheetFormatPr defaultRowHeight="14.5" x14ac:dyDescent="0.35"/>
  <cols>
    <col min="1" max="1" width="10.1796875" customWidth="1"/>
    <col min="2" max="2" width="12.453125" customWidth="1"/>
  </cols>
  <sheetData>
    <row r="1" spans="1:2" x14ac:dyDescent="0.35">
      <c r="A1" s="1" t="s">
        <v>36</v>
      </c>
      <c r="B1" s="1" t="s">
        <v>1</v>
      </c>
    </row>
    <row r="2" spans="1:2" x14ac:dyDescent="0.35">
      <c r="A2" t="s">
        <v>25</v>
      </c>
      <c r="B2">
        <v>0.21428571428571427</v>
      </c>
    </row>
    <row r="3" spans="1:2" x14ac:dyDescent="0.35">
      <c r="A3" t="s">
        <v>26</v>
      </c>
      <c r="B3">
        <v>0.23206489304896818</v>
      </c>
    </row>
    <row r="4" spans="1:2" x14ac:dyDescent="0.35">
      <c r="A4" t="s">
        <v>27</v>
      </c>
      <c r="B4">
        <v>0.23234228538298279</v>
      </c>
    </row>
    <row r="5" spans="1:2" x14ac:dyDescent="0.35">
      <c r="A5" t="s">
        <v>28</v>
      </c>
      <c r="B5">
        <v>0.23048537354551057</v>
      </c>
    </row>
    <row r="6" spans="1:2" x14ac:dyDescent="0.35">
      <c r="A6" t="s">
        <v>29</v>
      </c>
      <c r="B6">
        <v>0.23086554560675548</v>
      </c>
    </row>
    <row r="7" spans="1:2" x14ac:dyDescent="0.35">
      <c r="A7" t="s">
        <v>30</v>
      </c>
      <c r="B7">
        <v>0.23417721518987342</v>
      </c>
    </row>
    <row r="8" spans="1:2" x14ac:dyDescent="0.35">
      <c r="A8" t="s">
        <v>31</v>
      </c>
      <c r="B8">
        <v>0.23257824143070044</v>
      </c>
    </row>
    <row r="9" spans="1:2" x14ac:dyDescent="0.35">
      <c r="A9" t="s">
        <v>32</v>
      </c>
      <c r="B9">
        <v>0.23485614858576459</v>
      </c>
    </row>
    <row r="10" spans="1:2" x14ac:dyDescent="0.35">
      <c r="A10" t="s">
        <v>33</v>
      </c>
      <c r="B10">
        <v>0.23367217280813216</v>
      </c>
    </row>
    <row r="11" spans="1:2" x14ac:dyDescent="0.35">
      <c r="A11" t="s">
        <v>34</v>
      </c>
      <c r="B11">
        <v>0.23696618617809512</v>
      </c>
    </row>
    <row r="12" spans="1:2" x14ac:dyDescent="0.35">
      <c r="A12" t="s">
        <v>35</v>
      </c>
      <c r="B12">
        <v>0.2314947127750786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AEEDD-E913-4D64-81C8-833A53A53E67}">
  <dimension ref="A1:Q67"/>
  <sheetViews>
    <sheetView workbookViewId="0">
      <selection activeCell="N27" sqref="N27"/>
    </sheetView>
  </sheetViews>
  <sheetFormatPr defaultRowHeight="14.5" x14ac:dyDescent="0.35"/>
  <cols>
    <col min="1" max="1" width="9.90625" customWidth="1"/>
    <col min="2" max="2" width="13.453125" customWidth="1"/>
    <col min="3" max="3" width="11.81640625" customWidth="1"/>
  </cols>
  <sheetData>
    <row r="1" spans="1:3" x14ac:dyDescent="0.35">
      <c r="A1" s="1" t="s">
        <v>36</v>
      </c>
      <c r="B1" s="1" t="s">
        <v>5</v>
      </c>
      <c r="C1" s="1" t="s">
        <v>1</v>
      </c>
    </row>
    <row r="2" spans="1:3" x14ac:dyDescent="0.35">
      <c r="A2" t="s">
        <v>25</v>
      </c>
      <c r="B2">
        <v>2021</v>
      </c>
      <c r="C2">
        <v>0.16666666666666666</v>
      </c>
    </row>
    <row r="3" spans="1:3" x14ac:dyDescent="0.35">
      <c r="A3" t="s">
        <v>25</v>
      </c>
      <c r="B3">
        <v>2022</v>
      </c>
      <c r="C3">
        <v>0.16666666666666666</v>
      </c>
    </row>
    <row r="4" spans="1:3" x14ac:dyDescent="0.35">
      <c r="A4" t="s">
        <v>25</v>
      </c>
      <c r="B4">
        <v>2023</v>
      </c>
      <c r="C4">
        <v>0.33333333333333331</v>
      </c>
    </row>
    <row r="5" spans="1:3" x14ac:dyDescent="0.35">
      <c r="A5" t="s">
        <v>25</v>
      </c>
      <c r="B5">
        <v>2024</v>
      </c>
      <c r="C5">
        <v>0.27272727272727271</v>
      </c>
    </row>
    <row r="6" spans="1:3" x14ac:dyDescent="0.35">
      <c r="A6" t="s">
        <v>25</v>
      </c>
      <c r="B6">
        <v>2025</v>
      </c>
      <c r="C6">
        <v>0.33333333333333331</v>
      </c>
    </row>
    <row r="7" spans="1:3" x14ac:dyDescent="0.35">
      <c r="A7" t="s">
        <v>25</v>
      </c>
      <c r="B7">
        <v>2026</v>
      </c>
      <c r="C7">
        <v>0.13333333333333333</v>
      </c>
    </row>
    <row r="8" spans="1:3" x14ac:dyDescent="0.35">
      <c r="A8" t="s">
        <v>26</v>
      </c>
      <c r="B8">
        <v>2021</v>
      </c>
      <c r="C8">
        <v>0.2295704242294635</v>
      </c>
    </row>
    <row r="9" spans="1:3" x14ac:dyDescent="0.35">
      <c r="A9" t="s">
        <v>26</v>
      </c>
      <c r="B9">
        <v>2022</v>
      </c>
      <c r="C9">
        <v>0.2350225888823414</v>
      </c>
    </row>
    <row r="10" spans="1:3" x14ac:dyDescent="0.35">
      <c r="A10" t="s">
        <v>26</v>
      </c>
      <c r="B10">
        <v>2023</v>
      </c>
      <c r="C10">
        <v>0.23210311092706662</v>
      </c>
    </row>
    <row r="11" spans="1:3" x14ac:dyDescent="0.35">
      <c r="A11" t="s">
        <v>26</v>
      </c>
      <c r="B11">
        <v>2024</v>
      </c>
      <c r="C11">
        <v>0.23145094287368764</v>
      </c>
    </row>
    <row r="12" spans="1:3" x14ac:dyDescent="0.35">
      <c r="A12" t="s">
        <v>26</v>
      </c>
      <c r="B12">
        <v>2025</v>
      </c>
      <c r="C12">
        <v>0.23216364877343718</v>
      </c>
    </row>
    <row r="13" spans="1:3" x14ac:dyDescent="0.35">
      <c r="A13" t="s">
        <v>26</v>
      </c>
      <c r="B13">
        <v>2026</v>
      </c>
      <c r="C13">
        <v>0.23187567165412912</v>
      </c>
    </row>
    <row r="14" spans="1:3" x14ac:dyDescent="0.35">
      <c r="A14" t="s">
        <v>27</v>
      </c>
      <c r="B14">
        <v>2021</v>
      </c>
      <c r="C14">
        <v>0.22844710852727174</v>
      </c>
    </row>
    <row r="15" spans="1:3" x14ac:dyDescent="0.35">
      <c r="A15" t="s">
        <v>27</v>
      </c>
      <c r="B15">
        <v>2022</v>
      </c>
      <c r="C15">
        <v>0.22980453065877959</v>
      </c>
    </row>
    <row r="16" spans="1:3" x14ac:dyDescent="0.35">
      <c r="A16" t="s">
        <v>27</v>
      </c>
      <c r="B16">
        <v>2023</v>
      </c>
      <c r="C16">
        <v>0.23464008936675276</v>
      </c>
    </row>
    <row r="17" spans="1:17" x14ac:dyDescent="0.35">
      <c r="A17" t="s">
        <v>27</v>
      </c>
      <c r="B17">
        <v>2024</v>
      </c>
      <c r="C17">
        <v>0.23233012617771415</v>
      </c>
    </row>
    <row r="18" spans="1:17" x14ac:dyDescent="0.35">
      <c r="A18" t="s">
        <v>27</v>
      </c>
      <c r="B18">
        <v>2025</v>
      </c>
      <c r="C18">
        <v>0.23405299313052011</v>
      </c>
    </row>
    <row r="19" spans="1:17" x14ac:dyDescent="0.35">
      <c r="A19" t="s">
        <v>27</v>
      </c>
      <c r="B19">
        <v>2026</v>
      </c>
      <c r="C19">
        <v>0.23385150140001931</v>
      </c>
    </row>
    <row r="20" spans="1:17" x14ac:dyDescent="0.35">
      <c r="A20" t="s">
        <v>28</v>
      </c>
      <c r="B20">
        <v>2021</v>
      </c>
      <c r="C20">
        <v>0.22871277233659804</v>
      </c>
    </row>
    <row r="21" spans="1:17" x14ac:dyDescent="0.35">
      <c r="A21" t="s">
        <v>28</v>
      </c>
      <c r="B21">
        <v>2022</v>
      </c>
      <c r="C21">
        <v>0.23030110359235206</v>
      </c>
    </row>
    <row r="22" spans="1:17" x14ac:dyDescent="0.35">
      <c r="A22" t="s">
        <v>28</v>
      </c>
      <c r="B22">
        <v>2023</v>
      </c>
      <c r="C22">
        <v>0.2305915194686432</v>
      </c>
    </row>
    <row r="23" spans="1:17" x14ac:dyDescent="0.35">
      <c r="A23" t="s">
        <v>28</v>
      </c>
      <c r="B23">
        <v>2024</v>
      </c>
      <c r="C23">
        <v>0.23288176204958069</v>
      </c>
    </row>
    <row r="24" spans="1:17" x14ac:dyDescent="0.35">
      <c r="A24" t="s">
        <v>28</v>
      </c>
      <c r="B24">
        <v>2025</v>
      </c>
      <c r="C24">
        <v>0.22719662226104681</v>
      </c>
    </row>
    <row r="25" spans="1:17" x14ac:dyDescent="0.35">
      <c r="A25" t="s">
        <v>28</v>
      </c>
      <c r="B25">
        <v>2026</v>
      </c>
      <c r="C25">
        <v>0.23340141035027551</v>
      </c>
    </row>
    <row r="26" spans="1:17" x14ac:dyDescent="0.35">
      <c r="A26" t="s">
        <v>29</v>
      </c>
      <c r="B26">
        <v>2021</v>
      </c>
      <c r="C26">
        <v>0.22862862862862862</v>
      </c>
    </row>
    <row r="27" spans="1:17" x14ac:dyDescent="0.35">
      <c r="A27" t="s">
        <v>29</v>
      </c>
      <c r="B27">
        <v>2022</v>
      </c>
      <c r="C27">
        <v>0.2348086341374932</v>
      </c>
    </row>
    <row r="28" spans="1:17" x14ac:dyDescent="0.35">
      <c r="A28" t="s">
        <v>29</v>
      </c>
      <c r="B28">
        <v>2023</v>
      </c>
      <c r="C28">
        <v>0.2286977886977887</v>
      </c>
      <c r="G28" s="1" t="s">
        <v>25</v>
      </c>
      <c r="H28" s="1" t="s">
        <v>26</v>
      </c>
      <c r="I28" s="1" t="s">
        <v>27</v>
      </c>
      <c r="J28" s="1" t="s">
        <v>28</v>
      </c>
      <c r="K28" s="1" t="s">
        <v>29</v>
      </c>
      <c r="L28" s="1" t="s">
        <v>30</v>
      </c>
      <c r="M28" s="1" t="s">
        <v>31</v>
      </c>
      <c r="N28" s="1" t="s">
        <v>32</v>
      </c>
      <c r="O28" s="1" t="s">
        <v>33</v>
      </c>
      <c r="P28" s="1" t="s">
        <v>34</v>
      </c>
      <c r="Q28" s="1" t="s">
        <v>35</v>
      </c>
    </row>
    <row r="29" spans="1:17" x14ac:dyDescent="0.35">
      <c r="A29" t="s">
        <v>29</v>
      </c>
      <c r="B29">
        <v>2024</v>
      </c>
      <c r="C29">
        <v>0.2278738555442523</v>
      </c>
      <c r="F29">
        <v>2021</v>
      </c>
      <c r="G29">
        <v>0.16666666666666666</v>
      </c>
      <c r="H29">
        <v>0.2295704242294635</v>
      </c>
      <c r="I29">
        <v>0.22844710852727174</v>
      </c>
      <c r="J29">
        <v>0.22871277233659804</v>
      </c>
      <c r="K29">
        <v>0.22862862862862862</v>
      </c>
      <c r="L29">
        <v>0.23133886255924171</v>
      </c>
      <c r="M29">
        <v>0.22791482184271558</v>
      </c>
      <c r="N29">
        <v>0.23115438108484004</v>
      </c>
      <c r="O29">
        <v>0.24471299093655588</v>
      </c>
      <c r="P29">
        <v>0.24705882352941178</v>
      </c>
      <c r="Q29">
        <v>0.23694779116465864</v>
      </c>
    </row>
    <row r="30" spans="1:17" x14ac:dyDescent="0.35">
      <c r="A30" t="s">
        <v>29</v>
      </c>
      <c r="B30">
        <v>2025</v>
      </c>
      <c r="C30">
        <v>0.23684983837790186</v>
      </c>
      <c r="F30">
        <v>2022</v>
      </c>
      <c r="G30">
        <v>0.16666666666666666</v>
      </c>
      <c r="H30">
        <v>0.2350225888823414</v>
      </c>
      <c r="I30">
        <v>0.22980453065877959</v>
      </c>
      <c r="J30">
        <v>0.23030110359235206</v>
      </c>
      <c r="K30">
        <v>0.2348086341374932</v>
      </c>
      <c r="L30">
        <v>0.23613715510313421</v>
      </c>
      <c r="M30">
        <v>0.23705069124423964</v>
      </c>
      <c r="N30">
        <v>0.23389915127309036</v>
      </c>
      <c r="O30">
        <v>0.21758691206543967</v>
      </c>
      <c r="P30">
        <v>0.24027072758037224</v>
      </c>
      <c r="Q30">
        <v>0.23652173913043478</v>
      </c>
    </row>
    <row r="31" spans="1:17" x14ac:dyDescent="0.35">
      <c r="A31" t="s">
        <v>29</v>
      </c>
      <c r="B31">
        <v>2026</v>
      </c>
      <c r="C31">
        <v>0.22717882010865406</v>
      </c>
      <c r="F31">
        <v>2023</v>
      </c>
      <c r="G31">
        <v>0.33333333333333331</v>
      </c>
      <c r="H31">
        <v>0.23210311092706662</v>
      </c>
      <c r="I31">
        <v>0.23464008936675276</v>
      </c>
      <c r="J31">
        <v>0.2305915194686432</v>
      </c>
      <c r="K31">
        <v>0.2286977886977887</v>
      </c>
      <c r="L31">
        <v>0.22762478485370052</v>
      </c>
      <c r="M31">
        <v>0.23626922308767725</v>
      </c>
      <c r="N31">
        <v>0.23358449946178686</v>
      </c>
      <c r="O31">
        <v>0.21799912625600698</v>
      </c>
      <c r="P31">
        <v>0.22956521739130434</v>
      </c>
      <c r="Q31">
        <v>0.23134328358208955</v>
      </c>
    </row>
    <row r="32" spans="1:17" x14ac:dyDescent="0.35">
      <c r="A32" t="s">
        <v>30</v>
      </c>
      <c r="B32">
        <v>2021</v>
      </c>
      <c r="C32">
        <v>0.23133886255924171</v>
      </c>
      <c r="F32">
        <v>2024</v>
      </c>
      <c r="G32">
        <v>0.27272727272727271</v>
      </c>
      <c r="H32">
        <v>0.23145094287368764</v>
      </c>
      <c r="I32">
        <v>0.23233012617771415</v>
      </c>
      <c r="J32">
        <v>0.23288176204958069</v>
      </c>
      <c r="K32">
        <v>0.2278738555442523</v>
      </c>
      <c r="L32">
        <v>0.2348611111111111</v>
      </c>
      <c r="M32">
        <v>0.23341617281590518</v>
      </c>
      <c r="N32">
        <v>0.2411510058568882</v>
      </c>
      <c r="O32">
        <v>0.2339486356340289</v>
      </c>
      <c r="P32">
        <v>0.23479005998286204</v>
      </c>
      <c r="Q32">
        <v>0.21851851851851853</v>
      </c>
    </row>
    <row r="33" spans="1:17" x14ac:dyDescent="0.35">
      <c r="A33" t="s">
        <v>30</v>
      </c>
      <c r="B33">
        <v>2022</v>
      </c>
      <c r="C33">
        <v>0.23613715510313421</v>
      </c>
      <c r="F33">
        <v>2025</v>
      </c>
      <c r="G33">
        <v>0.33333333333333331</v>
      </c>
      <c r="H33">
        <v>0.23216364877343718</v>
      </c>
      <c r="I33">
        <v>0.23405299313052011</v>
      </c>
      <c r="J33">
        <v>0.22719662226104681</v>
      </c>
      <c r="K33">
        <v>0.23684983837790186</v>
      </c>
      <c r="L33">
        <v>0.23804813715792944</v>
      </c>
      <c r="M33">
        <v>0.22888888888888889</v>
      </c>
      <c r="N33">
        <v>0.23486535735978942</v>
      </c>
      <c r="O33">
        <v>0.2274173027989822</v>
      </c>
      <c r="P33">
        <v>0.21463757916959889</v>
      </c>
      <c r="Q33">
        <v>0.23065693430656933</v>
      </c>
    </row>
    <row r="34" spans="1:17" x14ac:dyDescent="0.35">
      <c r="A34" t="s">
        <v>30</v>
      </c>
      <c r="B34">
        <v>2023</v>
      </c>
      <c r="C34">
        <v>0.22762478485370052</v>
      </c>
      <c r="F34">
        <v>2026</v>
      </c>
      <c r="G34">
        <v>0.13333333333333333</v>
      </c>
      <c r="H34">
        <v>0.23187567165412912</v>
      </c>
      <c r="I34">
        <v>0.23385150140001931</v>
      </c>
      <c r="J34">
        <v>0.23340141035027551</v>
      </c>
      <c r="K34">
        <v>0.22717882010865406</v>
      </c>
      <c r="L34">
        <v>0.23532084043157298</v>
      </c>
      <c r="M34">
        <v>0.23256177666562403</v>
      </c>
      <c r="N34">
        <v>0.23421633554083884</v>
      </c>
      <c r="O34">
        <v>0.25614150016377335</v>
      </c>
      <c r="P34">
        <v>0.25679542203147354</v>
      </c>
      <c r="Q34">
        <v>0.23458646616541354</v>
      </c>
    </row>
    <row r="35" spans="1:17" x14ac:dyDescent="0.35">
      <c r="A35" t="s">
        <v>30</v>
      </c>
      <c r="B35">
        <v>2024</v>
      </c>
      <c r="C35">
        <v>0.2348611111111111</v>
      </c>
    </row>
    <row r="36" spans="1:17" x14ac:dyDescent="0.35">
      <c r="A36" t="s">
        <v>30</v>
      </c>
      <c r="B36">
        <v>2025</v>
      </c>
      <c r="C36">
        <v>0.23804813715792944</v>
      </c>
    </row>
    <row r="37" spans="1:17" x14ac:dyDescent="0.35">
      <c r="A37" t="s">
        <v>30</v>
      </c>
      <c r="B37">
        <v>2026</v>
      </c>
      <c r="C37">
        <v>0.23532084043157298</v>
      </c>
    </row>
    <row r="38" spans="1:17" x14ac:dyDescent="0.35">
      <c r="A38" t="s">
        <v>31</v>
      </c>
      <c r="B38">
        <v>2021</v>
      </c>
      <c r="C38">
        <v>0.22791482184271558</v>
      </c>
    </row>
    <row r="39" spans="1:17" x14ac:dyDescent="0.35">
      <c r="A39" t="s">
        <v>31</v>
      </c>
      <c r="B39">
        <v>2022</v>
      </c>
      <c r="C39">
        <v>0.23705069124423964</v>
      </c>
    </row>
    <row r="40" spans="1:17" x14ac:dyDescent="0.35">
      <c r="A40" t="s">
        <v>31</v>
      </c>
      <c r="B40">
        <v>2023</v>
      </c>
      <c r="C40">
        <v>0.23626922308767725</v>
      </c>
    </row>
    <row r="41" spans="1:17" x14ac:dyDescent="0.35">
      <c r="A41" t="s">
        <v>31</v>
      </c>
      <c r="B41">
        <v>2024</v>
      </c>
      <c r="C41">
        <v>0.23341617281590518</v>
      </c>
    </row>
    <row r="42" spans="1:17" x14ac:dyDescent="0.35">
      <c r="A42" t="s">
        <v>31</v>
      </c>
      <c r="B42">
        <v>2025</v>
      </c>
      <c r="C42">
        <v>0.22888888888888889</v>
      </c>
    </row>
    <row r="43" spans="1:17" x14ac:dyDescent="0.35">
      <c r="A43" t="s">
        <v>31</v>
      </c>
      <c r="B43">
        <v>2026</v>
      </c>
      <c r="C43">
        <v>0.23256177666562403</v>
      </c>
    </row>
    <row r="44" spans="1:17" x14ac:dyDescent="0.35">
      <c r="A44" t="s">
        <v>32</v>
      </c>
      <c r="B44">
        <v>2021</v>
      </c>
      <c r="C44">
        <v>0.23115438108484004</v>
      </c>
    </row>
    <row r="45" spans="1:17" x14ac:dyDescent="0.35">
      <c r="A45" t="s">
        <v>32</v>
      </c>
      <c r="B45">
        <v>2022</v>
      </c>
      <c r="C45">
        <v>0.23389915127309036</v>
      </c>
    </row>
    <row r="46" spans="1:17" x14ac:dyDescent="0.35">
      <c r="A46" t="s">
        <v>32</v>
      </c>
      <c r="B46">
        <v>2023</v>
      </c>
      <c r="C46">
        <v>0.23358449946178686</v>
      </c>
    </row>
    <row r="47" spans="1:17" x14ac:dyDescent="0.35">
      <c r="A47" t="s">
        <v>32</v>
      </c>
      <c r="B47">
        <v>2024</v>
      </c>
      <c r="C47">
        <v>0.2411510058568882</v>
      </c>
    </row>
    <row r="48" spans="1:17" x14ac:dyDescent="0.35">
      <c r="A48" t="s">
        <v>32</v>
      </c>
      <c r="B48">
        <v>2025</v>
      </c>
      <c r="C48">
        <v>0.23486535735978942</v>
      </c>
    </row>
    <row r="49" spans="1:3" x14ac:dyDescent="0.35">
      <c r="A49" t="s">
        <v>32</v>
      </c>
      <c r="B49">
        <v>2026</v>
      </c>
      <c r="C49">
        <v>0.23421633554083884</v>
      </c>
    </row>
    <row r="50" spans="1:3" x14ac:dyDescent="0.35">
      <c r="A50" t="s">
        <v>33</v>
      </c>
      <c r="B50">
        <v>2021</v>
      </c>
      <c r="C50">
        <v>0.24471299093655588</v>
      </c>
    </row>
    <row r="51" spans="1:3" x14ac:dyDescent="0.35">
      <c r="A51" t="s">
        <v>33</v>
      </c>
      <c r="B51">
        <v>2022</v>
      </c>
      <c r="C51">
        <v>0.21758691206543967</v>
      </c>
    </row>
    <row r="52" spans="1:3" x14ac:dyDescent="0.35">
      <c r="A52" t="s">
        <v>33</v>
      </c>
      <c r="B52">
        <v>2023</v>
      </c>
      <c r="C52">
        <v>0.21799912625600698</v>
      </c>
    </row>
    <row r="53" spans="1:3" x14ac:dyDescent="0.35">
      <c r="A53" t="s">
        <v>33</v>
      </c>
      <c r="B53">
        <v>2024</v>
      </c>
      <c r="C53">
        <v>0.2339486356340289</v>
      </c>
    </row>
    <row r="54" spans="1:3" x14ac:dyDescent="0.35">
      <c r="A54" t="s">
        <v>33</v>
      </c>
      <c r="B54">
        <v>2025</v>
      </c>
      <c r="C54">
        <v>0.2274173027989822</v>
      </c>
    </row>
    <row r="55" spans="1:3" x14ac:dyDescent="0.35">
      <c r="A55" t="s">
        <v>33</v>
      </c>
      <c r="B55">
        <v>2026</v>
      </c>
      <c r="C55">
        <v>0.25614150016377335</v>
      </c>
    </row>
    <row r="56" spans="1:3" x14ac:dyDescent="0.35">
      <c r="A56" t="s">
        <v>34</v>
      </c>
      <c r="B56">
        <v>2021</v>
      </c>
      <c r="C56">
        <v>0.24705882352941178</v>
      </c>
    </row>
    <row r="57" spans="1:3" x14ac:dyDescent="0.35">
      <c r="A57" t="s">
        <v>34</v>
      </c>
      <c r="B57">
        <v>2022</v>
      </c>
      <c r="C57">
        <v>0.24027072758037224</v>
      </c>
    </row>
    <row r="58" spans="1:3" x14ac:dyDescent="0.35">
      <c r="A58" t="s">
        <v>34</v>
      </c>
      <c r="B58">
        <v>2023</v>
      </c>
      <c r="C58">
        <v>0.22956521739130434</v>
      </c>
    </row>
    <row r="59" spans="1:3" x14ac:dyDescent="0.35">
      <c r="A59" t="s">
        <v>34</v>
      </c>
      <c r="B59">
        <v>2024</v>
      </c>
      <c r="C59">
        <v>0.23479005998286204</v>
      </c>
    </row>
    <row r="60" spans="1:3" x14ac:dyDescent="0.35">
      <c r="A60" t="s">
        <v>34</v>
      </c>
      <c r="B60">
        <v>2025</v>
      </c>
      <c r="C60">
        <v>0.21463757916959889</v>
      </c>
    </row>
    <row r="61" spans="1:3" x14ac:dyDescent="0.35">
      <c r="A61" t="s">
        <v>34</v>
      </c>
      <c r="B61">
        <v>2026</v>
      </c>
      <c r="C61">
        <v>0.25679542203147354</v>
      </c>
    </row>
    <row r="62" spans="1:3" x14ac:dyDescent="0.35">
      <c r="A62" t="s">
        <v>35</v>
      </c>
      <c r="B62">
        <v>2021</v>
      </c>
      <c r="C62">
        <v>0.23694779116465864</v>
      </c>
    </row>
    <row r="63" spans="1:3" x14ac:dyDescent="0.35">
      <c r="A63" t="s">
        <v>35</v>
      </c>
      <c r="B63">
        <v>2022</v>
      </c>
      <c r="C63">
        <v>0.23652173913043478</v>
      </c>
    </row>
    <row r="64" spans="1:3" x14ac:dyDescent="0.35">
      <c r="A64" t="s">
        <v>35</v>
      </c>
      <c r="B64">
        <v>2023</v>
      </c>
      <c r="C64">
        <v>0.23134328358208955</v>
      </c>
    </row>
    <row r="65" spans="1:3" x14ac:dyDescent="0.35">
      <c r="A65" t="s">
        <v>35</v>
      </c>
      <c r="B65">
        <v>2024</v>
      </c>
      <c r="C65">
        <v>0.21851851851851853</v>
      </c>
    </row>
    <row r="66" spans="1:3" x14ac:dyDescent="0.35">
      <c r="A66" t="s">
        <v>35</v>
      </c>
      <c r="B66">
        <v>2025</v>
      </c>
      <c r="C66">
        <v>0.23065693430656933</v>
      </c>
    </row>
    <row r="67" spans="1:3" x14ac:dyDescent="0.35">
      <c r="A67" t="s">
        <v>35</v>
      </c>
      <c r="B67">
        <v>2026</v>
      </c>
      <c r="C67">
        <v>0.23458646616541354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69890-75DB-4650-BBF5-B4C222DEB71D}">
  <dimension ref="A1:B6"/>
  <sheetViews>
    <sheetView workbookViewId="0">
      <selection activeCell="A2" sqref="A2:B6"/>
    </sheetView>
  </sheetViews>
  <sheetFormatPr defaultRowHeight="14.5" x14ac:dyDescent="0.35"/>
  <cols>
    <col min="1" max="1" width="17.6328125" customWidth="1"/>
    <col min="2" max="2" width="12.36328125" customWidth="1"/>
  </cols>
  <sheetData>
    <row r="1" spans="1:2" x14ac:dyDescent="0.35">
      <c r="A1" s="1" t="s">
        <v>58</v>
      </c>
      <c r="B1" s="1" t="s">
        <v>1</v>
      </c>
    </row>
    <row r="2" spans="1:2" x14ac:dyDescent="0.35">
      <c r="A2" t="s">
        <v>54</v>
      </c>
      <c r="B2">
        <v>0.23211017882227875</v>
      </c>
    </row>
    <row r="3" spans="1:2" x14ac:dyDescent="0.35">
      <c r="A3" t="s">
        <v>55</v>
      </c>
      <c r="B3">
        <v>0.23214831691734175</v>
      </c>
    </row>
    <row r="4" spans="1:2" x14ac:dyDescent="0.35">
      <c r="A4" t="s">
        <v>56</v>
      </c>
      <c r="B4">
        <v>0.20987654320987653</v>
      </c>
    </row>
    <row r="5" spans="1:2" x14ac:dyDescent="0.35">
      <c r="A5" t="s">
        <v>18</v>
      </c>
      <c r="B5">
        <v>0.22930933281158286</v>
      </c>
    </row>
    <row r="6" spans="1:2" x14ac:dyDescent="0.35">
      <c r="A6" t="s">
        <v>57</v>
      </c>
      <c r="B6">
        <v>0.30526315789473685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94958-293D-4B77-BA85-0D383EB766B5}">
  <dimension ref="A1:K32"/>
  <sheetViews>
    <sheetView tabSelected="1" workbookViewId="0">
      <selection activeCell="D1" sqref="D1"/>
    </sheetView>
  </sheetViews>
  <sheetFormatPr defaultRowHeight="14.5" x14ac:dyDescent="0.35"/>
  <cols>
    <col min="1" max="1" width="18.08984375" customWidth="1"/>
    <col min="2" max="2" width="14.453125" customWidth="1"/>
    <col min="3" max="3" width="12.7265625" customWidth="1"/>
    <col min="9" max="9" width="11.08984375" customWidth="1"/>
  </cols>
  <sheetData>
    <row r="1" spans="1:3" x14ac:dyDescent="0.35">
      <c r="A1" s="1" t="s">
        <v>58</v>
      </c>
      <c r="B1" s="1" t="s">
        <v>5</v>
      </c>
      <c r="C1" s="1" t="s">
        <v>1</v>
      </c>
    </row>
    <row r="2" spans="1:3" x14ac:dyDescent="0.35">
      <c r="A2" t="s">
        <v>54</v>
      </c>
      <c r="B2">
        <v>2021</v>
      </c>
      <c r="C2">
        <v>0.23015810997369174</v>
      </c>
    </row>
    <row r="3" spans="1:3" x14ac:dyDescent="0.35">
      <c r="A3" t="s">
        <v>54</v>
      </c>
      <c r="B3">
        <v>2022</v>
      </c>
      <c r="C3">
        <v>0.23125928567183693</v>
      </c>
    </row>
    <row r="4" spans="1:3" x14ac:dyDescent="0.35">
      <c r="A4" t="s">
        <v>54</v>
      </c>
      <c r="B4">
        <v>2023</v>
      </c>
      <c r="C4">
        <v>0.23238583293363291</v>
      </c>
    </row>
    <row r="5" spans="1:3" x14ac:dyDescent="0.35">
      <c r="A5" t="s">
        <v>54</v>
      </c>
      <c r="B5">
        <v>2024</v>
      </c>
      <c r="C5">
        <v>0.23121939423251314</v>
      </c>
    </row>
    <row r="6" spans="1:3" x14ac:dyDescent="0.35">
      <c r="A6" t="s">
        <v>54</v>
      </c>
      <c r="B6">
        <v>2025</v>
      </c>
      <c r="C6">
        <v>0.23234830120435568</v>
      </c>
    </row>
    <row r="7" spans="1:3" x14ac:dyDescent="0.35">
      <c r="A7" t="s">
        <v>54</v>
      </c>
      <c r="B7">
        <v>2026</v>
      </c>
      <c r="C7">
        <v>0.23459630311274707</v>
      </c>
    </row>
    <row r="8" spans="1:3" x14ac:dyDescent="0.35">
      <c r="A8" t="s">
        <v>55</v>
      </c>
      <c r="B8">
        <v>2021</v>
      </c>
      <c r="C8">
        <v>0.22880234205895636</v>
      </c>
    </row>
    <row r="9" spans="1:3" x14ac:dyDescent="0.35">
      <c r="A9" t="s">
        <v>55</v>
      </c>
      <c r="B9">
        <v>2022</v>
      </c>
      <c r="C9">
        <v>0.2333191247513498</v>
      </c>
    </row>
    <row r="10" spans="1:3" x14ac:dyDescent="0.35">
      <c r="A10" t="s">
        <v>55</v>
      </c>
      <c r="B10">
        <v>2023</v>
      </c>
      <c r="C10">
        <v>0.23234586466165413</v>
      </c>
    </row>
    <row r="11" spans="1:3" x14ac:dyDescent="0.35">
      <c r="A11" t="s">
        <v>55</v>
      </c>
      <c r="B11">
        <v>2024</v>
      </c>
      <c r="C11">
        <v>0.23331554427312456</v>
      </c>
    </row>
    <row r="12" spans="1:3" x14ac:dyDescent="0.35">
      <c r="A12" t="s">
        <v>55</v>
      </c>
      <c r="B12">
        <v>2025</v>
      </c>
      <c r="C12">
        <v>0.23288612115939375</v>
      </c>
    </row>
    <row r="13" spans="1:3" x14ac:dyDescent="0.35">
      <c r="A13" t="s">
        <v>55</v>
      </c>
      <c r="B13">
        <v>2026</v>
      </c>
      <c r="C13">
        <v>0.23183733896868322</v>
      </c>
    </row>
    <row r="14" spans="1:3" x14ac:dyDescent="0.35">
      <c r="A14" t="s">
        <v>56</v>
      </c>
      <c r="B14">
        <v>2021</v>
      </c>
      <c r="C14">
        <v>6.4516129032258063E-2</v>
      </c>
    </row>
    <row r="15" spans="1:3" x14ac:dyDescent="0.35">
      <c r="A15" t="s">
        <v>56</v>
      </c>
      <c r="B15">
        <v>2022</v>
      </c>
      <c r="C15">
        <v>0.2857142857142857</v>
      </c>
    </row>
    <row r="16" spans="1:3" x14ac:dyDescent="0.35">
      <c r="A16" t="s">
        <v>56</v>
      </c>
      <c r="B16">
        <v>2023</v>
      </c>
      <c r="C16">
        <v>0.24324324324324326</v>
      </c>
    </row>
    <row r="17" spans="1:11" x14ac:dyDescent="0.35">
      <c r="A17" t="s">
        <v>56</v>
      </c>
      <c r="B17">
        <v>2024</v>
      </c>
      <c r="C17">
        <v>0.16666666666666666</v>
      </c>
    </row>
    <row r="18" spans="1:11" x14ac:dyDescent="0.35">
      <c r="A18" t="s">
        <v>56</v>
      </c>
      <c r="B18">
        <v>2025</v>
      </c>
      <c r="C18">
        <v>0.22</v>
      </c>
    </row>
    <row r="19" spans="1:11" x14ac:dyDescent="0.35">
      <c r="A19" t="s">
        <v>56</v>
      </c>
      <c r="B19">
        <v>2026</v>
      </c>
      <c r="C19">
        <v>0.23404255319148937</v>
      </c>
    </row>
    <row r="20" spans="1:11" x14ac:dyDescent="0.35">
      <c r="A20" t="s">
        <v>18</v>
      </c>
      <c r="B20">
        <v>2021</v>
      </c>
      <c r="C20">
        <v>0.2129032258064516</v>
      </c>
    </row>
    <row r="21" spans="1:11" x14ac:dyDescent="0.35">
      <c r="A21" t="s">
        <v>18</v>
      </c>
      <c r="B21">
        <v>2022</v>
      </c>
      <c r="C21">
        <v>0.22596153846153846</v>
      </c>
    </row>
    <row r="22" spans="1:11" x14ac:dyDescent="0.35">
      <c r="A22" t="s">
        <v>18</v>
      </c>
      <c r="B22">
        <v>2023</v>
      </c>
      <c r="C22">
        <v>0.22908622908622908</v>
      </c>
    </row>
    <row r="23" spans="1:11" x14ac:dyDescent="0.35">
      <c r="A23" t="s">
        <v>18</v>
      </c>
      <c r="B23">
        <v>2024</v>
      </c>
      <c r="C23">
        <v>0.24617346938775511</v>
      </c>
    </row>
    <row r="24" spans="1:11" x14ac:dyDescent="0.35">
      <c r="A24" t="s">
        <v>18</v>
      </c>
      <c r="B24">
        <v>2025</v>
      </c>
      <c r="C24">
        <v>0.22176591375770022</v>
      </c>
    </row>
    <row r="25" spans="1:11" x14ac:dyDescent="0.35">
      <c r="A25" t="s">
        <v>18</v>
      </c>
      <c r="B25">
        <v>2026</v>
      </c>
      <c r="C25">
        <v>0.23942208462332301</v>
      </c>
    </row>
    <row r="26" spans="1:11" x14ac:dyDescent="0.35">
      <c r="A26" t="s">
        <v>57</v>
      </c>
      <c r="B26">
        <v>2021</v>
      </c>
      <c r="C26">
        <v>0.26666666666666666</v>
      </c>
      <c r="G26" t="s">
        <v>54</v>
      </c>
      <c r="H26" t="s">
        <v>55</v>
      </c>
      <c r="I26" t="s">
        <v>56</v>
      </c>
      <c r="J26" t="s">
        <v>18</v>
      </c>
      <c r="K26" t="s">
        <v>57</v>
      </c>
    </row>
    <row r="27" spans="1:11" x14ac:dyDescent="0.35">
      <c r="A27" t="s">
        <v>57</v>
      </c>
      <c r="B27">
        <v>2022</v>
      </c>
      <c r="C27">
        <v>0.1</v>
      </c>
      <c r="F27">
        <v>2021</v>
      </c>
      <c r="G27">
        <v>0.23015810997369174</v>
      </c>
      <c r="H27">
        <v>0.22880234205895636</v>
      </c>
      <c r="I27">
        <v>6.4516129032258063E-2</v>
      </c>
      <c r="J27">
        <v>0.2129032258064516</v>
      </c>
      <c r="K27">
        <v>0.26666666666666666</v>
      </c>
    </row>
    <row r="28" spans="1:11" x14ac:dyDescent="0.35">
      <c r="A28" t="s">
        <v>57</v>
      </c>
      <c r="B28">
        <v>2023</v>
      </c>
      <c r="C28">
        <v>0.4</v>
      </c>
      <c r="F28">
        <v>2022</v>
      </c>
      <c r="G28">
        <v>0.23125928567183693</v>
      </c>
      <c r="H28">
        <v>0.2333191247513498</v>
      </c>
      <c r="I28">
        <v>0.2857142857142857</v>
      </c>
      <c r="J28">
        <v>0.22596153846153846</v>
      </c>
      <c r="K28">
        <v>0.1</v>
      </c>
    </row>
    <row r="29" spans="1:11" x14ac:dyDescent="0.35">
      <c r="A29" t="s">
        <v>57</v>
      </c>
      <c r="B29">
        <v>2024</v>
      </c>
      <c r="C29">
        <v>0.35</v>
      </c>
      <c r="F29">
        <v>2023</v>
      </c>
      <c r="G29">
        <v>0.23238583293363291</v>
      </c>
      <c r="H29">
        <v>0.23234586466165413</v>
      </c>
      <c r="I29">
        <v>0.24324324324324326</v>
      </c>
      <c r="J29">
        <v>0.22908622908622908</v>
      </c>
      <c r="K29">
        <v>0.4</v>
      </c>
    </row>
    <row r="30" spans="1:11" x14ac:dyDescent="0.35">
      <c r="A30" t="s">
        <v>57</v>
      </c>
      <c r="B30">
        <v>2025</v>
      </c>
      <c r="C30">
        <v>0.41176470588235292</v>
      </c>
      <c r="F30">
        <v>2024</v>
      </c>
      <c r="G30">
        <v>0.23121939423251314</v>
      </c>
      <c r="H30">
        <v>0.23331554427312456</v>
      </c>
      <c r="I30">
        <v>0.16666666666666666</v>
      </c>
      <c r="J30">
        <v>0.24617346938775511</v>
      </c>
      <c r="K30">
        <v>0.35</v>
      </c>
    </row>
    <row r="31" spans="1:11" x14ac:dyDescent="0.35">
      <c r="A31" t="s">
        <v>57</v>
      </c>
      <c r="B31">
        <v>2026</v>
      </c>
      <c r="C31">
        <v>0.22222222222222221</v>
      </c>
      <c r="F31">
        <v>2025</v>
      </c>
      <c r="G31">
        <v>0.23234830120435568</v>
      </c>
      <c r="H31">
        <v>0.23288612115939375</v>
      </c>
      <c r="I31">
        <v>0.22</v>
      </c>
      <c r="J31">
        <v>0.22176591375770022</v>
      </c>
      <c r="K31">
        <v>0.41176470588235292</v>
      </c>
    </row>
    <row r="32" spans="1:11" x14ac:dyDescent="0.35">
      <c r="F32">
        <v>2026</v>
      </c>
      <c r="G32">
        <v>0.23459630311274707</v>
      </c>
      <c r="H32">
        <v>0.23183733896868322</v>
      </c>
      <c r="I32">
        <v>0.23404255319148937</v>
      </c>
      <c r="J32">
        <v>0.23942208462332301</v>
      </c>
      <c r="K32">
        <v>0.22222222222222221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4EB52-FEDC-45CD-B328-1A9F183FE8D1}">
  <dimension ref="A1:B5"/>
  <sheetViews>
    <sheetView workbookViewId="0">
      <selection activeCell="M2" sqref="M2"/>
    </sheetView>
  </sheetViews>
  <sheetFormatPr defaultRowHeight="14.5" x14ac:dyDescent="0.35"/>
  <cols>
    <col min="1" max="1" width="19.6328125" customWidth="1"/>
    <col min="2" max="2" width="12" customWidth="1"/>
  </cols>
  <sheetData>
    <row r="1" spans="1:2" x14ac:dyDescent="0.35">
      <c r="A1" s="1" t="s">
        <v>41</v>
      </c>
      <c r="B1" s="1" t="s">
        <v>1</v>
      </c>
    </row>
    <row r="2" spans="1:2" x14ac:dyDescent="0.35">
      <c r="A2" t="s">
        <v>37</v>
      </c>
      <c r="B2">
        <v>0.23223829287936371</v>
      </c>
    </row>
    <row r="3" spans="1:2" x14ac:dyDescent="0.35">
      <c r="A3" t="s">
        <v>38</v>
      </c>
      <c r="B3">
        <v>0.23063253898205355</v>
      </c>
    </row>
    <row r="4" spans="1:2" x14ac:dyDescent="0.35">
      <c r="A4" t="s">
        <v>39</v>
      </c>
      <c r="B4">
        <v>0.23223247531163996</v>
      </c>
    </row>
    <row r="5" spans="1:2" x14ac:dyDescent="0.35">
      <c r="A5" t="s">
        <v>40</v>
      </c>
      <c r="B5">
        <v>0.23231893047930302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7FCD0-7896-4C98-9E11-8F999A3873E4}">
  <dimension ref="A1:J32"/>
  <sheetViews>
    <sheetView workbookViewId="0">
      <selection activeCell="E1" sqref="E1"/>
    </sheetView>
  </sheetViews>
  <sheetFormatPr defaultRowHeight="14.5" x14ac:dyDescent="0.35"/>
  <cols>
    <col min="1" max="1" width="19.6328125" customWidth="1"/>
    <col min="2" max="2" width="13.81640625" customWidth="1"/>
    <col min="3" max="3" width="12.1796875" customWidth="1"/>
    <col min="9" max="10" width="11.54296875" customWidth="1"/>
  </cols>
  <sheetData>
    <row r="1" spans="1:3" x14ac:dyDescent="0.35">
      <c r="A1" s="1" t="s">
        <v>41</v>
      </c>
      <c r="B1" s="1" t="s">
        <v>5</v>
      </c>
      <c r="C1" s="1" t="s">
        <v>1</v>
      </c>
    </row>
    <row r="2" spans="1:3" x14ac:dyDescent="0.35">
      <c r="A2" t="s">
        <v>37</v>
      </c>
      <c r="B2">
        <v>2021</v>
      </c>
      <c r="C2">
        <v>0.22842064251053731</v>
      </c>
    </row>
    <row r="3" spans="1:3" x14ac:dyDescent="0.35">
      <c r="A3" t="s">
        <v>37</v>
      </c>
      <c r="B3">
        <v>2022</v>
      </c>
      <c r="C3">
        <v>0.2336275786664094</v>
      </c>
    </row>
    <row r="4" spans="1:3" x14ac:dyDescent="0.35">
      <c r="A4" t="s">
        <v>37</v>
      </c>
      <c r="B4">
        <v>2023</v>
      </c>
      <c r="C4">
        <v>0.23416812070204249</v>
      </c>
    </row>
    <row r="5" spans="1:3" x14ac:dyDescent="0.35">
      <c r="A5" t="s">
        <v>37</v>
      </c>
      <c r="B5">
        <v>2024</v>
      </c>
      <c r="C5">
        <v>0.23222974750131509</v>
      </c>
    </row>
    <row r="6" spans="1:3" x14ac:dyDescent="0.35">
      <c r="A6" t="s">
        <v>37</v>
      </c>
      <c r="B6">
        <v>2025</v>
      </c>
      <c r="C6">
        <v>0.23284205034563715</v>
      </c>
    </row>
    <row r="7" spans="1:3" x14ac:dyDescent="0.35">
      <c r="A7" t="s">
        <v>37</v>
      </c>
      <c r="B7">
        <v>2026</v>
      </c>
      <c r="C7">
        <v>0.23184078257579852</v>
      </c>
    </row>
    <row r="8" spans="1:3" x14ac:dyDescent="0.35">
      <c r="A8" t="s">
        <v>38</v>
      </c>
      <c r="B8">
        <v>2021</v>
      </c>
      <c r="C8">
        <v>0.22892252604166666</v>
      </c>
    </row>
    <row r="9" spans="1:3" x14ac:dyDescent="0.35">
      <c r="A9" t="s">
        <v>38</v>
      </c>
      <c r="B9">
        <v>2022</v>
      </c>
      <c r="C9">
        <v>0.23240890986871221</v>
      </c>
    </row>
    <row r="10" spans="1:3" x14ac:dyDescent="0.35">
      <c r="A10" t="s">
        <v>38</v>
      </c>
      <c r="B10">
        <v>2023</v>
      </c>
      <c r="C10">
        <v>0.22326454033771106</v>
      </c>
    </row>
    <row r="11" spans="1:3" x14ac:dyDescent="0.35">
      <c r="A11" t="s">
        <v>38</v>
      </c>
      <c r="B11">
        <v>2024</v>
      </c>
      <c r="C11">
        <v>0.2325355997912473</v>
      </c>
    </row>
    <row r="12" spans="1:3" x14ac:dyDescent="0.35">
      <c r="A12" t="s">
        <v>38</v>
      </c>
      <c r="B12">
        <v>2025</v>
      </c>
      <c r="C12">
        <v>0.23379478343532767</v>
      </c>
    </row>
    <row r="13" spans="1:3" x14ac:dyDescent="0.35">
      <c r="A13" t="s">
        <v>38</v>
      </c>
      <c r="B13">
        <v>2026</v>
      </c>
      <c r="C13">
        <v>0.23140495867768596</v>
      </c>
    </row>
    <row r="14" spans="1:3" x14ac:dyDescent="0.35">
      <c r="A14" t="s">
        <v>39</v>
      </c>
      <c r="B14">
        <v>2021</v>
      </c>
      <c r="C14">
        <v>0.23046675890191509</v>
      </c>
    </row>
    <row r="15" spans="1:3" x14ac:dyDescent="0.35">
      <c r="A15" t="s">
        <v>39</v>
      </c>
      <c r="B15">
        <v>2022</v>
      </c>
      <c r="C15">
        <v>0.23052608311229</v>
      </c>
    </row>
    <row r="16" spans="1:3" x14ac:dyDescent="0.35">
      <c r="A16" t="s">
        <v>39</v>
      </c>
      <c r="B16">
        <v>2023</v>
      </c>
      <c r="C16">
        <v>0.23316086328252458</v>
      </c>
    </row>
    <row r="17" spans="1:10" x14ac:dyDescent="0.35">
      <c r="A17" t="s">
        <v>39</v>
      </c>
      <c r="B17">
        <v>2024</v>
      </c>
      <c r="C17">
        <v>0.23287302121926576</v>
      </c>
    </row>
    <row r="18" spans="1:10" x14ac:dyDescent="0.35">
      <c r="A18" t="s">
        <v>39</v>
      </c>
      <c r="B18">
        <v>2025</v>
      </c>
      <c r="C18">
        <v>0.23093689638673778</v>
      </c>
    </row>
    <row r="19" spans="1:10" x14ac:dyDescent="0.35">
      <c r="A19" t="s">
        <v>39</v>
      </c>
      <c r="B19">
        <v>2026</v>
      </c>
      <c r="C19">
        <v>0.2351061655923167</v>
      </c>
    </row>
    <row r="20" spans="1:10" x14ac:dyDescent="0.35">
      <c r="A20" t="s">
        <v>40</v>
      </c>
      <c r="B20">
        <v>2021</v>
      </c>
      <c r="C20">
        <v>0.23001851445068566</v>
      </c>
    </row>
    <row r="21" spans="1:10" x14ac:dyDescent="0.35">
      <c r="A21" t="s">
        <v>40</v>
      </c>
      <c r="B21">
        <v>2022</v>
      </c>
      <c r="C21">
        <v>0.2316031155545222</v>
      </c>
    </row>
    <row r="22" spans="1:10" x14ac:dyDescent="0.35">
      <c r="A22" t="s">
        <v>40</v>
      </c>
      <c r="B22">
        <v>2023</v>
      </c>
      <c r="C22">
        <v>0.23167381709312015</v>
      </c>
    </row>
    <row r="23" spans="1:10" x14ac:dyDescent="0.35">
      <c r="A23" t="s">
        <v>40</v>
      </c>
      <c r="B23">
        <v>2024</v>
      </c>
      <c r="C23">
        <v>0.23134678554669169</v>
      </c>
    </row>
    <row r="24" spans="1:10" x14ac:dyDescent="0.35">
      <c r="A24" t="s">
        <v>40</v>
      </c>
      <c r="B24">
        <v>2025</v>
      </c>
      <c r="C24">
        <v>0.23368143136654015</v>
      </c>
    </row>
    <row r="25" spans="1:10" x14ac:dyDescent="0.35">
      <c r="A25" t="s">
        <v>40</v>
      </c>
      <c r="B25">
        <v>2026</v>
      </c>
      <c r="C25">
        <v>0.23462565207807792</v>
      </c>
    </row>
    <row r="26" spans="1:10" x14ac:dyDescent="0.35">
      <c r="G26" s="1" t="s">
        <v>37</v>
      </c>
      <c r="H26" s="1" t="s">
        <v>38</v>
      </c>
      <c r="I26" s="1" t="s">
        <v>39</v>
      </c>
      <c r="J26" s="1" t="s">
        <v>40</v>
      </c>
    </row>
    <row r="27" spans="1:10" x14ac:dyDescent="0.35">
      <c r="F27">
        <v>2021</v>
      </c>
      <c r="G27">
        <v>0.22842064251053731</v>
      </c>
      <c r="H27">
        <v>0.22892252604166666</v>
      </c>
      <c r="I27">
        <v>0.23046675890191509</v>
      </c>
      <c r="J27">
        <v>0.23001851445068566</v>
      </c>
    </row>
    <row r="28" spans="1:10" x14ac:dyDescent="0.35">
      <c r="F28">
        <v>2022</v>
      </c>
      <c r="G28">
        <v>0.2336275786664094</v>
      </c>
      <c r="H28">
        <v>0.23240890986871221</v>
      </c>
      <c r="I28">
        <v>0.23052608311229</v>
      </c>
      <c r="J28">
        <v>0.2316031155545222</v>
      </c>
    </row>
    <row r="29" spans="1:10" x14ac:dyDescent="0.35">
      <c r="F29">
        <v>2023</v>
      </c>
      <c r="G29">
        <v>0.23416812070204249</v>
      </c>
      <c r="H29">
        <v>0.22326454033771106</v>
      </c>
      <c r="I29">
        <v>0.23316086328252458</v>
      </c>
      <c r="J29">
        <v>0.23167381709312015</v>
      </c>
    </row>
    <row r="30" spans="1:10" x14ac:dyDescent="0.35">
      <c r="F30">
        <v>2024</v>
      </c>
      <c r="G30">
        <v>0.23222974750131509</v>
      </c>
      <c r="H30">
        <v>0.2325355997912473</v>
      </c>
      <c r="I30">
        <v>0.23287302121926576</v>
      </c>
      <c r="J30">
        <v>0.23134678554669169</v>
      </c>
    </row>
    <row r="31" spans="1:10" x14ac:dyDescent="0.35">
      <c r="F31">
        <v>2025</v>
      </c>
      <c r="G31">
        <v>0.23284205034563715</v>
      </c>
      <c r="H31">
        <v>0.23379478343532767</v>
      </c>
      <c r="I31">
        <v>0.23093689638673778</v>
      </c>
      <c r="J31">
        <v>0.23368143136654015</v>
      </c>
    </row>
    <row r="32" spans="1:10" x14ac:dyDescent="0.35">
      <c r="F32">
        <v>2026</v>
      </c>
      <c r="G32">
        <v>0.23184078257579852</v>
      </c>
      <c r="H32">
        <v>0.23140495867768596</v>
      </c>
      <c r="I32">
        <v>0.2351061655923167</v>
      </c>
      <c r="J32">
        <v>0.23462565207807792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BB101-C935-4871-BCE8-FAE399DB9700}">
  <dimension ref="A1:B7"/>
  <sheetViews>
    <sheetView workbookViewId="0">
      <selection activeCell="O8" sqref="O8"/>
    </sheetView>
  </sheetViews>
  <sheetFormatPr defaultRowHeight="14.5" x14ac:dyDescent="0.35"/>
  <cols>
    <col min="1" max="1" width="19.08984375" customWidth="1"/>
    <col min="2" max="2" width="11.7265625" customWidth="1"/>
  </cols>
  <sheetData>
    <row r="1" spans="1:2" x14ac:dyDescent="0.35">
      <c r="A1" s="1" t="s">
        <v>47</v>
      </c>
      <c r="B1" s="1" t="s">
        <v>1</v>
      </c>
    </row>
    <row r="2" spans="1:2" x14ac:dyDescent="0.35">
      <c r="A2" t="s">
        <v>42</v>
      </c>
      <c r="B2">
        <v>0.23327934833154274</v>
      </c>
    </row>
    <row r="3" spans="1:2" x14ac:dyDescent="0.35">
      <c r="A3" t="s">
        <v>43</v>
      </c>
      <c r="B3">
        <v>0.23246400017377353</v>
      </c>
    </row>
    <row r="4" spans="1:2" x14ac:dyDescent="0.35">
      <c r="A4" t="s">
        <v>44</v>
      </c>
      <c r="B4">
        <v>0.23159800034476816</v>
      </c>
    </row>
    <row r="5" spans="1:2" x14ac:dyDescent="0.35">
      <c r="A5" t="s">
        <v>45</v>
      </c>
      <c r="B5">
        <v>0.22406159769008663</v>
      </c>
    </row>
    <row r="6" spans="1:2" x14ac:dyDescent="0.35">
      <c r="A6" t="s">
        <v>40</v>
      </c>
      <c r="B6">
        <v>0.23104835812315871</v>
      </c>
    </row>
    <row r="7" spans="1:2" x14ac:dyDescent="0.35">
      <c r="A7" t="s">
        <v>46</v>
      </c>
      <c r="B7">
        <v>0.23191842542091534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C9644-49EE-4747-B389-A60F212B4271}">
  <dimension ref="A1:L37"/>
  <sheetViews>
    <sheetView workbookViewId="0">
      <selection activeCell="E1" sqref="E1"/>
    </sheetView>
  </sheetViews>
  <sheetFormatPr defaultRowHeight="14.5" x14ac:dyDescent="0.35"/>
  <cols>
    <col min="1" max="1" width="18.81640625" customWidth="1"/>
    <col min="2" max="2" width="13.81640625" customWidth="1"/>
    <col min="3" max="3" width="11.90625" customWidth="1"/>
    <col min="7" max="7" width="13.7265625" customWidth="1"/>
    <col min="8" max="8" width="11.26953125" customWidth="1"/>
    <col min="9" max="9" width="13.81640625" customWidth="1"/>
    <col min="11" max="11" width="19.6328125" customWidth="1"/>
    <col min="12" max="12" width="12.26953125" customWidth="1"/>
  </cols>
  <sheetData>
    <row r="1" spans="1:3" x14ac:dyDescent="0.35">
      <c r="A1" s="1" t="s">
        <v>47</v>
      </c>
      <c r="B1" s="1" t="s">
        <v>5</v>
      </c>
      <c r="C1" s="1" t="s">
        <v>1</v>
      </c>
    </row>
    <row r="2" spans="1:3" x14ac:dyDescent="0.35">
      <c r="A2" t="s">
        <v>42</v>
      </c>
      <c r="B2">
        <v>2021</v>
      </c>
      <c r="C2">
        <v>0.22835332606324973</v>
      </c>
    </row>
    <row r="3" spans="1:3" x14ac:dyDescent="0.35">
      <c r="A3" t="s">
        <v>42</v>
      </c>
      <c r="B3">
        <v>2022</v>
      </c>
      <c r="C3">
        <v>0.23830890417788414</v>
      </c>
    </row>
    <row r="4" spans="1:3" x14ac:dyDescent="0.35">
      <c r="A4" t="s">
        <v>42</v>
      </c>
      <c r="B4">
        <v>2023</v>
      </c>
      <c r="C4">
        <v>0.23668449197860963</v>
      </c>
    </row>
    <row r="5" spans="1:3" x14ac:dyDescent="0.35">
      <c r="A5" t="s">
        <v>42</v>
      </c>
      <c r="B5">
        <v>2024</v>
      </c>
      <c r="C5">
        <v>0.23075352256483561</v>
      </c>
    </row>
    <row r="6" spans="1:3" x14ac:dyDescent="0.35">
      <c r="A6" t="s">
        <v>42</v>
      </c>
      <c r="B6">
        <v>2025</v>
      </c>
      <c r="C6">
        <v>0.2292840570102751</v>
      </c>
    </row>
    <row r="7" spans="1:3" x14ac:dyDescent="0.35">
      <c r="A7" t="s">
        <v>42</v>
      </c>
      <c r="B7">
        <v>2026</v>
      </c>
      <c r="C7">
        <v>0.23627844712182061</v>
      </c>
    </row>
    <row r="8" spans="1:3" x14ac:dyDescent="0.35">
      <c r="A8" t="s">
        <v>43</v>
      </c>
      <c r="B8">
        <v>2021</v>
      </c>
      <c r="C8">
        <v>0.22988297293549109</v>
      </c>
    </row>
    <row r="9" spans="1:3" x14ac:dyDescent="0.35">
      <c r="A9" t="s">
        <v>43</v>
      </c>
      <c r="B9">
        <v>2022</v>
      </c>
      <c r="C9">
        <v>0.2312949710430357</v>
      </c>
    </row>
    <row r="10" spans="1:3" x14ac:dyDescent="0.35">
      <c r="A10" t="s">
        <v>43</v>
      </c>
      <c r="B10">
        <v>2023</v>
      </c>
      <c r="C10">
        <v>0.23300680552691277</v>
      </c>
    </row>
    <row r="11" spans="1:3" x14ac:dyDescent="0.35">
      <c r="A11" t="s">
        <v>43</v>
      </c>
      <c r="B11">
        <v>2024</v>
      </c>
      <c r="C11">
        <v>0.23303241083321</v>
      </c>
    </row>
    <row r="12" spans="1:3" x14ac:dyDescent="0.35">
      <c r="A12" t="s">
        <v>43</v>
      </c>
      <c r="B12">
        <v>2025</v>
      </c>
      <c r="C12">
        <v>0.23329829295845361</v>
      </c>
    </row>
    <row r="13" spans="1:3" x14ac:dyDescent="0.35">
      <c r="A13" t="s">
        <v>43</v>
      </c>
      <c r="B13">
        <v>2026</v>
      </c>
      <c r="C13">
        <v>0.23365058616886564</v>
      </c>
    </row>
    <row r="14" spans="1:3" x14ac:dyDescent="0.35">
      <c r="A14" t="s">
        <v>44</v>
      </c>
      <c r="B14">
        <v>2021</v>
      </c>
      <c r="C14">
        <v>0.23092249452082089</v>
      </c>
    </row>
    <row r="15" spans="1:3" x14ac:dyDescent="0.35">
      <c r="A15" t="s">
        <v>44</v>
      </c>
      <c r="B15">
        <v>2022</v>
      </c>
      <c r="C15">
        <v>0.2342133428469497</v>
      </c>
    </row>
    <row r="16" spans="1:3" x14ac:dyDescent="0.35">
      <c r="A16" t="s">
        <v>44</v>
      </c>
      <c r="B16">
        <v>2023</v>
      </c>
      <c r="C16">
        <v>0.23253128007699711</v>
      </c>
    </row>
    <row r="17" spans="1:12" x14ac:dyDescent="0.35">
      <c r="A17" t="s">
        <v>44</v>
      </c>
      <c r="B17">
        <v>2024</v>
      </c>
      <c r="C17">
        <v>0.22437066763954761</v>
      </c>
    </row>
    <row r="18" spans="1:12" x14ac:dyDescent="0.35">
      <c r="A18" t="s">
        <v>44</v>
      </c>
      <c r="B18">
        <v>2025</v>
      </c>
      <c r="C18">
        <v>0.23041207196749855</v>
      </c>
    </row>
    <row r="19" spans="1:12" x14ac:dyDescent="0.35">
      <c r="A19" t="s">
        <v>44</v>
      </c>
      <c r="B19">
        <v>2026</v>
      </c>
      <c r="C19">
        <v>0.23638838475499094</v>
      </c>
    </row>
    <row r="20" spans="1:12" x14ac:dyDescent="0.35">
      <c r="A20" t="s">
        <v>45</v>
      </c>
      <c r="B20">
        <v>2021</v>
      </c>
      <c r="C20">
        <v>0.22178477690288714</v>
      </c>
    </row>
    <row r="21" spans="1:12" x14ac:dyDescent="0.35">
      <c r="A21" t="s">
        <v>45</v>
      </c>
      <c r="B21">
        <v>2022</v>
      </c>
      <c r="C21">
        <v>0.23258559622195984</v>
      </c>
    </row>
    <row r="22" spans="1:12" x14ac:dyDescent="0.35">
      <c r="A22" t="s">
        <v>45</v>
      </c>
      <c r="B22">
        <v>2023</v>
      </c>
      <c r="C22">
        <v>0.2266839378238342</v>
      </c>
    </row>
    <row r="23" spans="1:12" x14ac:dyDescent="0.35">
      <c r="A23" t="s">
        <v>45</v>
      </c>
      <c r="B23">
        <v>2024</v>
      </c>
      <c r="C23">
        <v>0.23209876543209876</v>
      </c>
    </row>
    <row r="24" spans="1:12" x14ac:dyDescent="0.35">
      <c r="A24" t="s">
        <v>45</v>
      </c>
      <c r="B24">
        <v>2025</v>
      </c>
      <c r="C24">
        <v>0.22211445198836083</v>
      </c>
    </row>
    <row r="25" spans="1:12" x14ac:dyDescent="0.35">
      <c r="A25" t="s">
        <v>45</v>
      </c>
      <c r="B25">
        <v>2026</v>
      </c>
      <c r="C25">
        <v>0.2117163412127441</v>
      </c>
    </row>
    <row r="26" spans="1:12" x14ac:dyDescent="0.35">
      <c r="A26" t="s">
        <v>40</v>
      </c>
      <c r="B26">
        <v>2021</v>
      </c>
      <c r="C26">
        <v>0.22797035032140989</v>
      </c>
    </row>
    <row r="27" spans="1:12" x14ac:dyDescent="0.35">
      <c r="A27" t="s">
        <v>40</v>
      </c>
      <c r="B27">
        <v>2022</v>
      </c>
      <c r="C27">
        <v>0.23247729056857688</v>
      </c>
      <c r="G27" s="1" t="s">
        <v>42</v>
      </c>
      <c r="H27" s="1" t="s">
        <v>43</v>
      </c>
      <c r="I27" s="1" t="s">
        <v>44</v>
      </c>
      <c r="J27" s="1" t="s">
        <v>45</v>
      </c>
      <c r="K27" s="1" t="s">
        <v>40</v>
      </c>
      <c r="L27" s="1" t="s">
        <v>46</v>
      </c>
    </row>
    <row r="28" spans="1:12" x14ac:dyDescent="0.35">
      <c r="A28" t="s">
        <v>40</v>
      </c>
      <c r="B28">
        <v>2023</v>
      </c>
      <c r="C28">
        <v>0.2292143515353289</v>
      </c>
      <c r="F28">
        <v>2021</v>
      </c>
      <c r="G28">
        <v>0.22835332606324973</v>
      </c>
      <c r="H28">
        <v>0.22988297293549109</v>
      </c>
      <c r="I28">
        <v>0.23092249452082089</v>
      </c>
      <c r="J28">
        <v>0.22178477690288714</v>
      </c>
      <c r="K28">
        <v>0.22797035032140989</v>
      </c>
      <c r="L28">
        <v>0.24797406807131281</v>
      </c>
    </row>
    <row r="29" spans="1:12" x14ac:dyDescent="0.35">
      <c r="A29" t="s">
        <v>40</v>
      </c>
      <c r="B29">
        <v>2024</v>
      </c>
      <c r="C29">
        <v>0.23217056491006263</v>
      </c>
      <c r="F29">
        <v>2022</v>
      </c>
      <c r="G29">
        <v>0.23830890417788414</v>
      </c>
      <c r="H29">
        <v>0.2312949710430357</v>
      </c>
      <c r="I29">
        <v>0.2342133428469497</v>
      </c>
      <c r="J29">
        <v>0.23258559622195984</v>
      </c>
      <c r="K29">
        <v>0.23247729056857688</v>
      </c>
      <c r="L29">
        <v>0.24011713030746706</v>
      </c>
    </row>
    <row r="30" spans="1:12" x14ac:dyDescent="0.35">
      <c r="A30" t="s">
        <v>40</v>
      </c>
      <c r="B30">
        <v>2025</v>
      </c>
      <c r="C30">
        <v>0.23216272048307643</v>
      </c>
      <c r="F30">
        <v>2023</v>
      </c>
      <c r="G30">
        <v>0.23668449197860963</v>
      </c>
      <c r="H30">
        <v>0.23300680552691277</v>
      </c>
      <c r="I30">
        <v>0.23253128007699711</v>
      </c>
      <c r="J30">
        <v>0.2266839378238342</v>
      </c>
      <c r="K30">
        <v>0.2292143515353289</v>
      </c>
      <c r="L30">
        <v>0.24473257698541329</v>
      </c>
    </row>
    <row r="31" spans="1:12" x14ac:dyDescent="0.35">
      <c r="A31" t="s">
        <v>40</v>
      </c>
      <c r="B31">
        <v>2026</v>
      </c>
      <c r="C31">
        <v>0.23158797056932637</v>
      </c>
      <c r="F31">
        <v>2024</v>
      </c>
      <c r="G31">
        <v>0.23075352256483561</v>
      </c>
      <c r="H31">
        <v>0.23303241083321</v>
      </c>
      <c r="I31">
        <v>0.22437066763954761</v>
      </c>
      <c r="J31">
        <v>0.23209876543209876</v>
      </c>
      <c r="K31">
        <v>0.23217056491006263</v>
      </c>
      <c r="L31">
        <v>0.20221169036334913</v>
      </c>
    </row>
    <row r="32" spans="1:12" x14ac:dyDescent="0.35">
      <c r="A32" t="s">
        <v>46</v>
      </c>
      <c r="B32">
        <v>2021</v>
      </c>
      <c r="C32">
        <v>0.24797406807131281</v>
      </c>
      <c r="F32">
        <v>2025</v>
      </c>
      <c r="G32">
        <v>0.2292840570102751</v>
      </c>
      <c r="H32">
        <v>0.23329829295845361</v>
      </c>
      <c r="I32">
        <v>0.23041207196749855</v>
      </c>
      <c r="J32">
        <v>0.22211445198836083</v>
      </c>
      <c r="K32">
        <v>0.23216272048307643</v>
      </c>
      <c r="L32">
        <v>0.21692491060786651</v>
      </c>
    </row>
    <row r="33" spans="1:12" x14ac:dyDescent="0.35">
      <c r="A33" t="s">
        <v>46</v>
      </c>
      <c r="B33">
        <v>2022</v>
      </c>
      <c r="C33">
        <v>0.24011713030746706</v>
      </c>
      <c r="F33">
        <v>2026</v>
      </c>
      <c r="G33">
        <v>0.23627844712182061</v>
      </c>
      <c r="H33">
        <v>0.23365058616886564</v>
      </c>
      <c r="I33">
        <v>0.23638838475499094</v>
      </c>
      <c r="J33">
        <v>0.2117163412127441</v>
      </c>
      <c r="K33">
        <v>0.23158797056932637</v>
      </c>
      <c r="L33">
        <v>0.24154589371980675</v>
      </c>
    </row>
    <row r="34" spans="1:12" x14ac:dyDescent="0.35">
      <c r="A34" t="s">
        <v>46</v>
      </c>
      <c r="B34">
        <v>2023</v>
      </c>
      <c r="C34">
        <v>0.24473257698541329</v>
      </c>
    </row>
    <row r="35" spans="1:12" x14ac:dyDescent="0.35">
      <c r="A35" t="s">
        <v>46</v>
      </c>
      <c r="B35">
        <v>2024</v>
      </c>
      <c r="C35">
        <v>0.20221169036334913</v>
      </c>
    </row>
    <row r="36" spans="1:12" x14ac:dyDescent="0.35">
      <c r="A36" t="s">
        <v>46</v>
      </c>
      <c r="B36">
        <v>2025</v>
      </c>
      <c r="C36">
        <v>0.21692491060786651</v>
      </c>
    </row>
    <row r="37" spans="1:12" x14ac:dyDescent="0.35">
      <c r="A37" t="s">
        <v>46</v>
      </c>
      <c r="B37">
        <v>2026</v>
      </c>
      <c r="C37">
        <v>0.24154589371980675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91231-8FA4-41F0-8ADF-96FF0411E14A}">
  <dimension ref="A1:B3"/>
  <sheetViews>
    <sheetView workbookViewId="0">
      <selection activeCell="D8" sqref="D8"/>
    </sheetView>
  </sheetViews>
  <sheetFormatPr defaultRowHeight="14.5" x14ac:dyDescent="0.35"/>
  <cols>
    <col min="1" max="1" width="20.1796875" customWidth="1"/>
    <col min="2" max="2" width="12.08984375" customWidth="1"/>
  </cols>
  <sheetData>
    <row r="1" spans="1:2" x14ac:dyDescent="0.35">
      <c r="A1" s="1" t="s">
        <v>48</v>
      </c>
      <c r="B1" s="1" t="s">
        <v>1</v>
      </c>
    </row>
    <row r="2" spans="1:2" x14ac:dyDescent="0.35">
      <c r="A2" s="3" t="s">
        <v>49</v>
      </c>
      <c r="B2">
        <v>0.2321377214384992</v>
      </c>
    </row>
    <row r="3" spans="1:2" x14ac:dyDescent="0.35">
      <c r="A3" s="3" t="s">
        <v>50</v>
      </c>
      <c r="B3">
        <v>0.23084362022868196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FC7FE-C97B-4335-BDBB-EABF345C595C}">
  <dimension ref="A1:H28"/>
  <sheetViews>
    <sheetView workbookViewId="0">
      <selection activeCell="G22" sqref="G22:H22"/>
    </sheetView>
  </sheetViews>
  <sheetFormatPr defaultRowHeight="14.5" x14ac:dyDescent="0.35"/>
  <cols>
    <col min="1" max="1" width="20" customWidth="1"/>
    <col min="2" max="2" width="13.7265625" customWidth="1"/>
    <col min="3" max="3" width="11.90625" customWidth="1"/>
  </cols>
  <sheetData>
    <row r="1" spans="1:3" x14ac:dyDescent="0.35">
      <c r="A1" s="1" t="s">
        <v>48</v>
      </c>
      <c r="B1" s="1" t="s">
        <v>5</v>
      </c>
      <c r="C1" s="1" t="s">
        <v>1</v>
      </c>
    </row>
    <row r="2" spans="1:3" x14ac:dyDescent="0.35">
      <c r="A2" t="b">
        <v>0</v>
      </c>
      <c r="B2">
        <v>2021</v>
      </c>
      <c r="C2">
        <v>0.22956458052100986</v>
      </c>
    </row>
    <row r="3" spans="1:3" x14ac:dyDescent="0.35">
      <c r="A3" t="b">
        <v>0</v>
      </c>
      <c r="B3">
        <v>2022</v>
      </c>
      <c r="C3">
        <v>0.23229630599947604</v>
      </c>
    </row>
    <row r="4" spans="1:3" x14ac:dyDescent="0.35">
      <c r="A4" t="b">
        <v>0</v>
      </c>
      <c r="B4">
        <v>2023</v>
      </c>
      <c r="C4">
        <v>0.23233334028255537</v>
      </c>
    </row>
    <row r="5" spans="1:3" x14ac:dyDescent="0.35">
      <c r="A5" t="b">
        <v>0</v>
      </c>
      <c r="B5">
        <v>2024</v>
      </c>
      <c r="C5">
        <v>0.23224172968651097</v>
      </c>
    </row>
    <row r="6" spans="1:3" x14ac:dyDescent="0.35">
      <c r="A6" t="b">
        <v>0</v>
      </c>
      <c r="B6">
        <v>2025</v>
      </c>
      <c r="C6">
        <v>0.23243160273747837</v>
      </c>
    </row>
    <row r="7" spans="1:3" x14ac:dyDescent="0.35">
      <c r="A7" t="b">
        <v>0</v>
      </c>
      <c r="B7">
        <v>2026</v>
      </c>
      <c r="C7">
        <v>0.23343297081467429</v>
      </c>
    </row>
    <row r="8" spans="1:3" x14ac:dyDescent="0.35">
      <c r="A8" t="b">
        <v>1</v>
      </c>
      <c r="B8">
        <v>2021</v>
      </c>
      <c r="C8">
        <v>0.22139498432601881</v>
      </c>
    </row>
    <row r="9" spans="1:3" x14ac:dyDescent="0.35">
      <c r="A9" t="b">
        <v>1</v>
      </c>
      <c r="B9">
        <v>2022</v>
      </c>
      <c r="C9">
        <v>0.22508275101140124</v>
      </c>
    </row>
    <row r="10" spans="1:3" x14ac:dyDescent="0.35">
      <c r="A10" t="b">
        <v>1</v>
      </c>
      <c r="B10">
        <v>2023</v>
      </c>
      <c r="C10">
        <v>0.23436322532027129</v>
      </c>
    </row>
    <row r="11" spans="1:3" x14ac:dyDescent="0.35">
      <c r="A11" t="b">
        <v>1</v>
      </c>
      <c r="B11">
        <v>2024</v>
      </c>
      <c r="C11">
        <v>0.23253314224292368</v>
      </c>
    </row>
    <row r="12" spans="1:3" x14ac:dyDescent="0.35">
      <c r="A12" t="b">
        <v>1</v>
      </c>
      <c r="B12">
        <v>2025</v>
      </c>
      <c r="C12">
        <v>0.23918128654970761</v>
      </c>
    </row>
    <row r="13" spans="1:3" x14ac:dyDescent="0.35">
      <c r="A13" t="b">
        <v>1</v>
      </c>
      <c r="B13">
        <v>2026</v>
      </c>
      <c r="C13">
        <v>0.23003194888178913</v>
      </c>
    </row>
    <row r="22" spans="6:8" x14ac:dyDescent="0.35">
      <c r="G22" s="1" t="b">
        <v>0</v>
      </c>
      <c r="H22" s="1" t="b">
        <v>1</v>
      </c>
    </row>
    <row r="23" spans="6:8" x14ac:dyDescent="0.35">
      <c r="F23">
        <v>2021</v>
      </c>
      <c r="G23">
        <v>0.22956458052100986</v>
      </c>
      <c r="H23">
        <v>0.22139498432601881</v>
      </c>
    </row>
    <row r="24" spans="6:8" x14ac:dyDescent="0.35">
      <c r="F24">
        <v>2022</v>
      </c>
      <c r="G24">
        <v>0.23229630599947604</v>
      </c>
      <c r="H24">
        <v>0.22508275101140124</v>
      </c>
    </row>
    <row r="25" spans="6:8" x14ac:dyDescent="0.35">
      <c r="F25">
        <v>2023</v>
      </c>
      <c r="G25">
        <v>0.23233334028255537</v>
      </c>
      <c r="H25">
        <v>0.23436322532027129</v>
      </c>
    </row>
    <row r="26" spans="6:8" x14ac:dyDescent="0.35">
      <c r="F26">
        <v>2024</v>
      </c>
      <c r="G26">
        <v>0.23224172968651097</v>
      </c>
      <c r="H26">
        <v>0.23253314224292368</v>
      </c>
    </row>
    <row r="27" spans="6:8" x14ac:dyDescent="0.35">
      <c r="F27">
        <v>2025</v>
      </c>
      <c r="G27">
        <v>0.23243160273747837</v>
      </c>
      <c r="H27">
        <v>0.23918128654970761</v>
      </c>
    </row>
    <row r="28" spans="6:8" x14ac:dyDescent="0.35">
      <c r="F28">
        <v>2026</v>
      </c>
      <c r="G28">
        <v>0.23343297081467429</v>
      </c>
      <c r="H28">
        <v>0.23003194888178913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14467-D971-4ED5-A5BE-DC4FFEDBC071}">
  <dimension ref="A1:B3"/>
  <sheetViews>
    <sheetView workbookViewId="0">
      <selection activeCell="N2" sqref="N2"/>
    </sheetView>
  </sheetViews>
  <sheetFormatPr defaultRowHeight="14.5" x14ac:dyDescent="0.35"/>
  <cols>
    <col min="1" max="1" width="23" customWidth="1"/>
    <col min="2" max="2" width="12.26953125" customWidth="1"/>
  </cols>
  <sheetData>
    <row r="1" spans="1:2" x14ac:dyDescent="0.35">
      <c r="A1" s="1" t="s">
        <v>53</v>
      </c>
      <c r="B1" s="1" t="s">
        <v>1</v>
      </c>
    </row>
    <row r="2" spans="1:2" x14ac:dyDescent="0.35">
      <c r="A2" t="s">
        <v>51</v>
      </c>
      <c r="B2">
        <v>0.23130700872121718</v>
      </c>
    </row>
    <row r="3" spans="1:2" x14ac:dyDescent="0.35">
      <c r="A3" t="s">
        <v>52</v>
      </c>
      <c r="B3">
        <v>0.23481508585299682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9F305-A59E-465C-A97F-B72BD8A8E20B}">
  <dimension ref="A1:H29"/>
  <sheetViews>
    <sheetView workbookViewId="0">
      <selection activeCell="D1" sqref="D1"/>
    </sheetView>
  </sheetViews>
  <sheetFormatPr defaultRowHeight="14.5" x14ac:dyDescent="0.35"/>
  <cols>
    <col min="1" max="1" width="23.1796875" customWidth="1"/>
    <col min="2" max="2" width="14.36328125" customWidth="1"/>
    <col min="3" max="3" width="12.7265625" customWidth="1"/>
    <col min="7" max="7" width="8.7265625" customWidth="1"/>
  </cols>
  <sheetData>
    <row r="1" spans="1:3" x14ac:dyDescent="0.35">
      <c r="A1" s="1" t="s">
        <v>53</v>
      </c>
      <c r="B1" s="1" t="s">
        <v>5</v>
      </c>
      <c r="C1" s="1" t="s">
        <v>1</v>
      </c>
    </row>
    <row r="2" spans="1:3" x14ac:dyDescent="0.35">
      <c r="A2" t="s">
        <v>51</v>
      </c>
      <c r="B2">
        <v>2021</v>
      </c>
      <c r="C2">
        <v>0.2287314354736871</v>
      </c>
    </row>
    <row r="3" spans="1:3" x14ac:dyDescent="0.35">
      <c r="A3" t="s">
        <v>51</v>
      </c>
      <c r="B3">
        <v>2022</v>
      </c>
      <c r="C3">
        <v>0.23199819417621831</v>
      </c>
    </row>
    <row r="4" spans="1:3" x14ac:dyDescent="0.35">
      <c r="A4" t="s">
        <v>51</v>
      </c>
      <c r="B4">
        <v>2023</v>
      </c>
      <c r="C4">
        <v>0.23163225486022421</v>
      </c>
    </row>
    <row r="5" spans="1:3" x14ac:dyDescent="0.35">
      <c r="A5" t="s">
        <v>51</v>
      </c>
      <c r="B5">
        <v>2024</v>
      </c>
      <c r="C5">
        <v>0.23156339678388888</v>
      </c>
    </row>
    <row r="6" spans="1:3" x14ac:dyDescent="0.35">
      <c r="A6" t="s">
        <v>51</v>
      </c>
      <c r="B6">
        <v>2025</v>
      </c>
      <c r="C6">
        <v>0.23138181204656655</v>
      </c>
    </row>
    <row r="7" spans="1:3" x14ac:dyDescent="0.35">
      <c r="A7" t="s">
        <v>51</v>
      </c>
      <c r="B7">
        <v>2026</v>
      </c>
      <c r="C7">
        <v>0.23215756389770736</v>
      </c>
    </row>
    <row r="8" spans="1:3" x14ac:dyDescent="0.35">
      <c r="A8" t="s">
        <v>52</v>
      </c>
      <c r="B8">
        <v>2021</v>
      </c>
      <c r="C8">
        <v>0.23172193367958449</v>
      </c>
    </row>
    <row r="9" spans="1:3" x14ac:dyDescent="0.35">
      <c r="A9" t="s">
        <v>52</v>
      </c>
      <c r="B9">
        <v>2022</v>
      </c>
      <c r="C9">
        <v>0.23274464874531939</v>
      </c>
    </row>
    <row r="10" spans="1:3" x14ac:dyDescent="0.35">
      <c r="A10" t="s">
        <v>52</v>
      </c>
      <c r="B10">
        <v>2023</v>
      </c>
      <c r="C10">
        <v>0.23483122799751502</v>
      </c>
    </row>
    <row r="11" spans="1:3" x14ac:dyDescent="0.35">
      <c r="A11" t="s">
        <v>52</v>
      </c>
      <c r="B11">
        <v>2024</v>
      </c>
      <c r="C11">
        <v>0.23454151706844475</v>
      </c>
    </row>
    <row r="12" spans="1:3" x14ac:dyDescent="0.35">
      <c r="A12" t="s">
        <v>52</v>
      </c>
      <c r="B12">
        <v>2025</v>
      </c>
      <c r="C12">
        <v>0.23647516863597265</v>
      </c>
    </row>
    <row r="13" spans="1:3" x14ac:dyDescent="0.35">
      <c r="A13" t="s">
        <v>52</v>
      </c>
      <c r="B13">
        <v>2026</v>
      </c>
      <c r="C13">
        <v>0.23740164855751217</v>
      </c>
    </row>
    <row r="23" spans="6:8" x14ac:dyDescent="0.35">
      <c r="G23" s="1" t="s">
        <v>51</v>
      </c>
      <c r="H23" s="1" t="s">
        <v>52</v>
      </c>
    </row>
    <row r="24" spans="6:8" x14ac:dyDescent="0.35">
      <c r="F24">
        <v>2021</v>
      </c>
      <c r="G24">
        <v>0.2287314354736871</v>
      </c>
      <c r="H24">
        <v>0.23172193367958449</v>
      </c>
    </row>
    <row r="25" spans="6:8" x14ac:dyDescent="0.35">
      <c r="F25">
        <v>2022</v>
      </c>
      <c r="G25">
        <v>0.23199819417621831</v>
      </c>
      <c r="H25">
        <v>0.23274464874531939</v>
      </c>
    </row>
    <row r="26" spans="6:8" x14ac:dyDescent="0.35">
      <c r="F26">
        <v>2023</v>
      </c>
      <c r="G26">
        <v>0.23163225486022421</v>
      </c>
      <c r="H26">
        <v>0.23483122799751502</v>
      </c>
    </row>
    <row r="27" spans="6:8" x14ac:dyDescent="0.35">
      <c r="F27">
        <v>2024</v>
      </c>
      <c r="G27">
        <v>0.23156339678388888</v>
      </c>
      <c r="H27">
        <v>0.23454151706844475</v>
      </c>
    </row>
    <row r="28" spans="6:8" x14ac:dyDescent="0.35">
      <c r="F28">
        <v>2025</v>
      </c>
      <c r="G28">
        <v>0.23138181204656655</v>
      </c>
      <c r="H28">
        <v>0.23647516863597265</v>
      </c>
    </row>
    <row r="29" spans="6:8" x14ac:dyDescent="0.35">
      <c r="F29">
        <v>2026</v>
      </c>
      <c r="G29">
        <v>0.23215756389770736</v>
      </c>
      <c r="H29">
        <v>0.23740164855751217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Attendance Mode</vt:lpstr>
      <vt:lpstr>Att. Mode Per Year</vt:lpstr>
      <vt:lpstr>CALC</vt:lpstr>
      <vt:lpstr>CALC Per Year</vt:lpstr>
      <vt:lpstr>Course Level</vt:lpstr>
      <vt:lpstr>Course Level Per Year</vt:lpstr>
      <vt:lpstr>Broad FOE</vt:lpstr>
      <vt:lpstr>Broad FOE Per Year</vt:lpstr>
      <vt:lpstr>Age Band</vt:lpstr>
      <vt:lpstr>Age Band Per Year</vt:lpstr>
      <vt:lpstr>Gender</vt:lpstr>
      <vt:lpstr>Gender Per Year</vt:lpstr>
      <vt:lpstr>SES</vt:lpstr>
      <vt:lpstr>SES Per Year</vt:lpstr>
      <vt:lpstr>Regional-Remote</vt:lpstr>
      <vt:lpstr>Regional-Remote Per Year</vt:lpstr>
      <vt:lpstr>First Nations</vt:lpstr>
      <vt:lpstr>First Nations Per Year</vt:lpstr>
      <vt:lpstr>International</vt:lpstr>
      <vt:lpstr>International Per 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Lee</dc:creator>
  <cp:lastModifiedBy>Karen Lee</cp:lastModifiedBy>
  <dcterms:created xsi:type="dcterms:W3CDTF">2026-08-13T02:00:43Z</dcterms:created>
  <dcterms:modified xsi:type="dcterms:W3CDTF">2026-08-15T07:46:34Z</dcterms:modified>
</cp:coreProperties>
</file>